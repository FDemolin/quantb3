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Quant B3\"/>
    </mc:Choice>
  </mc:AlternateContent>
  <xr:revisionPtr revIDLastSave="0" documentId="13_ncr:1_{0D220E90-A864-43C4-81EA-23DBF196C69B}" xr6:coauthVersionLast="46" xr6:coauthVersionMax="46" xr10:uidLastSave="{00000000-0000-0000-0000-000000000000}"/>
  <bookViews>
    <workbookView xWindow="-120" yWindow="-120" windowWidth="29040" windowHeight="15840" tabRatio="377" activeTab="2" xr2:uid="{A6C7E684-EB05-4624-A917-081B9F0376FF}"/>
  </bookViews>
  <sheets>
    <sheet name="Source" sheetId="2" r:id="rId1"/>
    <sheet name="Patterns" sheetId="4" r:id="rId2"/>
    <sheet name="Pivot Table" sheetId="3" r:id="rId3"/>
    <sheet name="Apresentação" sheetId="6" r:id="rId4"/>
  </sheets>
  <functionGroups builtInGroupCount="19"/>
  <definedNames>
    <definedName name="_xlnm._FilterDatabase" localSheetId="2" hidden="1">'Pivot Table'!$A$4:$AI$161</definedName>
    <definedName name="DadosExternos_1" localSheetId="1" hidden="1">Patterns!$A$1:$J$153</definedName>
    <definedName name="DadosExternos_1" localSheetId="0" hidden="1">Source!$A$1:$CX$147</definedName>
  </definedNames>
  <calcPr calcId="181029"/>
  <pivotCaches>
    <pivotCache cacheId="6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Y2" i="2" l="1"/>
  <c r="CY3" i="2"/>
  <c r="CY4" i="2"/>
  <c r="CY5" i="2"/>
  <c r="CZ5" i="2" s="1"/>
  <c r="CY6" i="2"/>
  <c r="CY7" i="2"/>
  <c r="CY8" i="2"/>
  <c r="CY9" i="2"/>
  <c r="CZ9" i="2" s="1"/>
  <c r="CY10" i="2"/>
  <c r="CY11" i="2"/>
  <c r="CY12" i="2"/>
  <c r="CY13" i="2"/>
  <c r="CZ13" i="2" s="1"/>
  <c r="CY14" i="2"/>
  <c r="CY15" i="2"/>
  <c r="CY16" i="2"/>
  <c r="CY17" i="2"/>
  <c r="CZ17" i="2" s="1"/>
  <c r="CY18" i="2"/>
  <c r="CY19" i="2"/>
  <c r="CY20" i="2"/>
  <c r="CY21" i="2"/>
  <c r="CZ21" i="2" s="1"/>
  <c r="CY22" i="2"/>
  <c r="CY23" i="2"/>
  <c r="CY24" i="2"/>
  <c r="CY25" i="2"/>
  <c r="CZ25" i="2" s="1"/>
  <c r="CY26" i="2"/>
  <c r="CY27" i="2"/>
  <c r="CY28" i="2"/>
  <c r="CY29" i="2"/>
  <c r="CZ29" i="2" s="1"/>
  <c r="CY30" i="2"/>
  <c r="CY31" i="2"/>
  <c r="CY32" i="2"/>
  <c r="CY33" i="2"/>
  <c r="CZ33" i="2" s="1"/>
  <c r="CY34" i="2"/>
  <c r="CY35" i="2"/>
  <c r="CY36" i="2"/>
  <c r="CY37" i="2"/>
  <c r="CZ37" i="2" s="1"/>
  <c r="CY38" i="2"/>
  <c r="CY39" i="2"/>
  <c r="CY40" i="2"/>
  <c r="CY41" i="2"/>
  <c r="CZ41" i="2" s="1"/>
  <c r="CY42" i="2"/>
  <c r="CY43" i="2"/>
  <c r="CY44" i="2"/>
  <c r="CY45" i="2"/>
  <c r="CZ45" i="2" s="1"/>
  <c r="CY46" i="2"/>
  <c r="CY47" i="2"/>
  <c r="CY48" i="2"/>
  <c r="CY49" i="2"/>
  <c r="CZ49" i="2" s="1"/>
  <c r="CY50" i="2"/>
  <c r="CY51" i="2"/>
  <c r="CY52" i="2"/>
  <c r="CY53" i="2"/>
  <c r="CZ53" i="2" s="1"/>
  <c r="CY54" i="2"/>
  <c r="CY55" i="2"/>
  <c r="CY56" i="2"/>
  <c r="CY57" i="2"/>
  <c r="CZ57" i="2" s="1"/>
  <c r="CY58" i="2"/>
  <c r="CY59" i="2"/>
  <c r="CY60" i="2"/>
  <c r="CY61" i="2"/>
  <c r="CZ61" i="2" s="1"/>
  <c r="CY62" i="2"/>
  <c r="CY63" i="2"/>
  <c r="CY64" i="2"/>
  <c r="CZ64" i="2" s="1"/>
  <c r="CY65" i="2"/>
  <c r="CZ65" i="2" s="1"/>
  <c r="CY66" i="2"/>
  <c r="CY67" i="2"/>
  <c r="CY68" i="2"/>
  <c r="CZ68" i="2" s="1"/>
  <c r="CY69" i="2"/>
  <c r="CZ69" i="2" s="1"/>
  <c r="CY70" i="2"/>
  <c r="CY71" i="2"/>
  <c r="CY72" i="2"/>
  <c r="CZ72" i="2" s="1"/>
  <c r="CY73" i="2"/>
  <c r="CZ73" i="2" s="1"/>
  <c r="CY74" i="2"/>
  <c r="CY75" i="2"/>
  <c r="CY76" i="2"/>
  <c r="CZ76" i="2" s="1"/>
  <c r="CY77" i="2"/>
  <c r="CZ77" i="2" s="1"/>
  <c r="CY78" i="2"/>
  <c r="CY79" i="2"/>
  <c r="CY80" i="2"/>
  <c r="CZ80" i="2" s="1"/>
  <c r="CY81" i="2"/>
  <c r="CZ81" i="2" s="1"/>
  <c r="CY82" i="2"/>
  <c r="CY83" i="2"/>
  <c r="CY84" i="2"/>
  <c r="CZ84" i="2" s="1"/>
  <c r="CY85" i="2"/>
  <c r="CZ85" i="2" s="1"/>
  <c r="CY86" i="2"/>
  <c r="CY87" i="2"/>
  <c r="CY88" i="2"/>
  <c r="CZ88" i="2" s="1"/>
  <c r="CY89" i="2"/>
  <c r="CZ89" i="2" s="1"/>
  <c r="CY90" i="2"/>
  <c r="CY91" i="2"/>
  <c r="CY92" i="2"/>
  <c r="CZ92" i="2" s="1"/>
  <c r="CY93" i="2"/>
  <c r="CZ93" i="2" s="1"/>
  <c r="CY94" i="2"/>
  <c r="CY95" i="2"/>
  <c r="CY96" i="2"/>
  <c r="CZ96" i="2" s="1"/>
  <c r="CY97" i="2"/>
  <c r="CZ97" i="2" s="1"/>
  <c r="CY98" i="2"/>
  <c r="CY99" i="2"/>
  <c r="CY100" i="2"/>
  <c r="CZ100" i="2" s="1"/>
  <c r="CY101" i="2"/>
  <c r="CZ101" i="2" s="1"/>
  <c r="CY102" i="2"/>
  <c r="CY103" i="2"/>
  <c r="CY104" i="2"/>
  <c r="CZ104" i="2" s="1"/>
  <c r="CY105" i="2"/>
  <c r="CZ105" i="2" s="1"/>
  <c r="CY106" i="2"/>
  <c r="CY107" i="2"/>
  <c r="CY108" i="2"/>
  <c r="CZ108" i="2" s="1"/>
  <c r="CY109" i="2"/>
  <c r="CZ109" i="2" s="1"/>
  <c r="CY110" i="2"/>
  <c r="CY111" i="2"/>
  <c r="CY112" i="2"/>
  <c r="CZ112" i="2" s="1"/>
  <c r="CY113" i="2"/>
  <c r="CZ113" i="2" s="1"/>
  <c r="CY114" i="2"/>
  <c r="CY115" i="2"/>
  <c r="CY116" i="2"/>
  <c r="CZ116" i="2" s="1"/>
  <c r="CY117" i="2"/>
  <c r="CZ117" i="2" s="1"/>
  <c r="CY118" i="2"/>
  <c r="CY119" i="2"/>
  <c r="CY120" i="2"/>
  <c r="CZ120" i="2" s="1"/>
  <c r="CY121" i="2"/>
  <c r="CZ121" i="2" s="1"/>
  <c r="CY122" i="2"/>
  <c r="CY123" i="2"/>
  <c r="CY124" i="2"/>
  <c r="CZ124" i="2" s="1"/>
  <c r="CY125" i="2"/>
  <c r="CZ125" i="2" s="1"/>
  <c r="CY126" i="2"/>
  <c r="CY127" i="2"/>
  <c r="CY128" i="2"/>
  <c r="CZ128" i="2" s="1"/>
  <c r="CY129" i="2"/>
  <c r="CZ129" i="2" s="1"/>
  <c r="CY130" i="2"/>
  <c r="CY131" i="2"/>
  <c r="CY132" i="2"/>
  <c r="CZ132" i="2" s="1"/>
  <c r="CY133" i="2"/>
  <c r="CZ133" i="2" s="1"/>
  <c r="CY134" i="2"/>
  <c r="CY135" i="2"/>
  <c r="CY136" i="2"/>
  <c r="CZ136" i="2" s="1"/>
  <c r="CY137" i="2"/>
  <c r="CZ137" i="2" s="1"/>
  <c r="CY138" i="2"/>
  <c r="CY139" i="2"/>
  <c r="CY140" i="2"/>
  <c r="CZ140" i="2" s="1"/>
  <c r="CY141" i="2"/>
  <c r="CZ141" i="2" s="1"/>
  <c r="CY142" i="2"/>
  <c r="CY143" i="2"/>
  <c r="CY144" i="2"/>
  <c r="CZ144" i="2" s="1"/>
  <c r="CY145" i="2"/>
  <c r="CZ145" i="2" s="1"/>
  <c r="CY146" i="2"/>
  <c r="CY147" i="2"/>
  <c r="CZ147" i="2" s="1"/>
  <c r="CZ2" i="2"/>
  <c r="CZ3" i="2"/>
  <c r="CZ4" i="2"/>
  <c r="CZ6" i="2"/>
  <c r="CZ7" i="2"/>
  <c r="CZ8" i="2"/>
  <c r="CZ10" i="2"/>
  <c r="CZ11" i="2"/>
  <c r="CZ12" i="2"/>
  <c r="CZ14" i="2"/>
  <c r="CZ15" i="2"/>
  <c r="CZ16" i="2"/>
  <c r="CZ18" i="2"/>
  <c r="CZ19" i="2"/>
  <c r="CZ20" i="2"/>
  <c r="CZ22" i="2"/>
  <c r="CZ23" i="2"/>
  <c r="CZ24" i="2"/>
  <c r="CZ26" i="2"/>
  <c r="CZ27" i="2"/>
  <c r="CZ28" i="2"/>
  <c r="CZ30" i="2"/>
  <c r="CZ31" i="2"/>
  <c r="CZ32" i="2"/>
  <c r="CZ34" i="2"/>
  <c r="CZ35" i="2"/>
  <c r="CZ36" i="2"/>
  <c r="CZ38" i="2"/>
  <c r="CZ39" i="2"/>
  <c r="CZ40" i="2"/>
  <c r="CZ42" i="2"/>
  <c r="CZ43" i="2"/>
  <c r="CZ44" i="2"/>
  <c r="CZ46" i="2"/>
  <c r="CZ47" i="2"/>
  <c r="CZ48" i="2"/>
  <c r="CZ50" i="2"/>
  <c r="CZ51" i="2"/>
  <c r="CZ52" i="2"/>
  <c r="CZ54" i="2"/>
  <c r="CZ55" i="2"/>
  <c r="CZ56" i="2"/>
  <c r="CZ58" i="2"/>
  <c r="CZ59" i="2"/>
  <c r="CZ60" i="2"/>
  <c r="CZ62" i="2"/>
  <c r="CZ63" i="2"/>
  <c r="CZ66" i="2"/>
  <c r="CZ67" i="2"/>
  <c r="CZ70" i="2"/>
  <c r="CZ71" i="2"/>
  <c r="CZ74" i="2"/>
  <c r="CZ75" i="2"/>
  <c r="CZ78" i="2"/>
  <c r="CZ79" i="2"/>
  <c r="CZ82" i="2"/>
  <c r="CZ83" i="2"/>
  <c r="CZ86" i="2"/>
  <c r="CZ87" i="2"/>
  <c r="CZ90" i="2"/>
  <c r="CZ91" i="2"/>
  <c r="CZ94" i="2"/>
  <c r="CZ95" i="2"/>
  <c r="CZ98" i="2"/>
  <c r="CZ99" i="2"/>
  <c r="CZ102" i="2"/>
  <c r="CZ103" i="2"/>
  <c r="CZ106" i="2"/>
  <c r="CZ107" i="2"/>
  <c r="CZ110" i="2"/>
  <c r="CZ111" i="2"/>
  <c r="CZ114" i="2"/>
  <c r="CZ115" i="2"/>
  <c r="CZ118" i="2"/>
  <c r="CZ119" i="2"/>
  <c r="CZ122" i="2"/>
  <c r="CZ123" i="2"/>
  <c r="CZ126" i="2"/>
  <c r="CZ127" i="2"/>
  <c r="CZ130" i="2"/>
  <c r="CZ131" i="2"/>
  <c r="CZ134" i="2"/>
  <c r="CZ135" i="2"/>
  <c r="CZ138" i="2"/>
  <c r="CZ139" i="2"/>
  <c r="CZ142" i="2"/>
  <c r="CZ143" i="2"/>
  <c r="CZ146" i="2"/>
  <c r="A47" i="3" l="1"/>
  <c r="A46" i="3"/>
  <c r="A45" i="3"/>
  <c r="A44" i="3"/>
  <c r="A43" i="3"/>
  <c r="A42" i="3"/>
  <c r="A41" i="3"/>
  <c r="A156" i="3"/>
  <c r="A155" i="3"/>
  <c r="A154" i="3"/>
  <c r="A153" i="3"/>
  <c r="A152" i="3"/>
  <c r="A151" i="3"/>
  <c r="A150" i="3"/>
  <c r="A149" i="3"/>
  <c r="A148" i="3"/>
  <c r="A147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161" i="3" l="1"/>
  <c r="A160" i="3"/>
  <c r="A159" i="3"/>
  <c r="A158" i="3"/>
  <c r="A157" i="3"/>
  <c r="A14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Felipe</author>
  </authors>
  <commentList>
    <comment ref="A3" authorId="0" shapeId="0" xr:uid="{08F1C465-8E3E-4C59-B43B-C10424A6E7BB}">
      <text>
        <r>
          <rPr>
            <b/>
            <sz val="9"/>
            <color indexed="81"/>
            <rFont val="Segoe UI"/>
            <family val="2"/>
          </rPr>
          <t>Felipe:</t>
        </r>
        <r>
          <rPr>
            <sz val="9"/>
            <color indexed="81"/>
            <rFont val="Segoe UI"/>
            <family val="2"/>
          </rPr>
          <t xml:space="preserve">
Último Padrão de candles encontrado no gráfico, seguido de Bull para indicar alta ou bear para indicar baixa.
</t>
        </r>
      </text>
    </comment>
    <comment ref="C3" authorId="0" shapeId="0" xr:uid="{1B376ED8-610F-41F3-82BD-AF09332EA43F}">
      <text>
        <r>
          <rPr>
            <b/>
            <sz val="9"/>
            <color indexed="81"/>
            <rFont val="Segoe UI"/>
            <family val="2"/>
          </rPr>
          <t>Felipe:</t>
        </r>
        <r>
          <rPr>
            <sz val="9"/>
            <color indexed="81"/>
            <rFont val="Segoe UI"/>
            <family val="2"/>
          </rPr>
          <t xml:space="preserve">
Preço de Fechamento Ajustado.</t>
        </r>
      </text>
    </comment>
    <comment ref="D3" authorId="0" shapeId="0" xr:uid="{0D831EAA-AE77-4144-9BCA-5EE1B9EAF147}">
      <text>
        <r>
          <rPr>
            <sz val="9"/>
            <color indexed="81"/>
            <rFont val="Segoe UI"/>
            <family val="2"/>
          </rPr>
          <t xml:space="preserve">Indica 1 se o padrão de candle formado for Bullish, 0 se não houver padrão, -1 se o padrão for Bearish
</t>
        </r>
      </text>
    </comment>
    <comment ref="E3" authorId="0" shapeId="0" xr:uid="{70467ED1-71D8-4C00-B629-688A5A514412}">
      <text>
        <r>
          <rPr>
            <sz val="9"/>
            <color indexed="81"/>
            <rFont val="Segoe UI"/>
            <family val="2"/>
          </rPr>
          <t>Última variação de Preço em %.</t>
        </r>
      </text>
    </comment>
    <comment ref="F3" authorId="0" shapeId="0" xr:uid="{656D32AE-CB5F-465E-B8CE-2CB802250534}">
      <text>
        <r>
          <rPr>
            <sz val="9"/>
            <color indexed="81"/>
            <rFont val="Segoe UI"/>
            <family val="2"/>
          </rPr>
          <t>Quanto a sombra inferior representa do corpo do candle, grandes valores são candles com muita sombra em relação ao corpo. Pode indicar TSI.</t>
        </r>
      </text>
    </comment>
    <comment ref="G3" authorId="0" shapeId="0" xr:uid="{7549BFAC-0CA5-4B2A-B310-1736E80A6266}">
      <text>
        <r>
          <rPr>
            <sz val="9"/>
            <color indexed="81"/>
            <rFont val="Segoe UI"/>
            <family val="2"/>
          </rPr>
          <t>Quantos % a sombra superior representa do corpo do candle. Pode indicar TSS.</t>
        </r>
      </text>
    </comment>
    <comment ref="H3" authorId="0" shapeId="0" xr:uid="{DE7D1020-8E79-41FD-968B-1674B9BC2ABC}">
      <text>
        <r>
          <rPr>
            <b/>
            <sz val="9"/>
            <color indexed="81"/>
            <rFont val="Segoe UI"/>
            <family val="2"/>
          </rPr>
          <t>Coeficiente Angular de Preço dos últimos 5 períodos, varia de -90 até 90, quanto maior o valor maior o momentum de 5 períodos</t>
        </r>
      </text>
    </comment>
    <comment ref="I3" authorId="0" shapeId="0" xr:uid="{5E995214-3987-476C-BE01-61665724DBFA}">
      <text>
        <r>
          <rPr>
            <b/>
            <sz val="9"/>
            <color indexed="81"/>
            <rFont val="Segoe UI"/>
            <family val="2"/>
          </rPr>
          <t>Coeficiente Angular de Preço dos últimos 14 períodos, varia de -90 até 90, quanto maior o valor maior o momentum de 14 períodos</t>
        </r>
      </text>
    </comment>
    <comment ref="J3" authorId="0" shapeId="0" xr:uid="{66498056-847F-457C-B091-43065DB18BA9}">
      <text>
        <r>
          <rPr>
            <b/>
            <sz val="9"/>
            <color indexed="81"/>
            <rFont val="Segoe UI"/>
            <family val="2"/>
          </rPr>
          <t xml:space="preserve">Distância do preço da média exponencial de 9 Períodos, em %.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K3" authorId="0" shapeId="0" xr:uid="{55426DEC-36BE-4A2C-B26A-CA494C71FCA7}">
      <text>
        <r>
          <rPr>
            <b/>
            <sz val="9"/>
            <color indexed="81"/>
            <rFont val="Segoe UI"/>
            <family val="2"/>
          </rPr>
          <t xml:space="preserve">Distância do preço da média aritmética de 50 Períodos, em %.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L3" authorId="0" shapeId="0" xr:uid="{4911DD4E-4E29-4B92-8AD5-286406FF34EA}">
      <text>
        <r>
          <rPr>
            <b/>
            <sz val="9"/>
            <color indexed="81"/>
            <rFont val="Segoe UI"/>
            <family val="2"/>
          </rPr>
          <t xml:space="preserve">Distância do preço da média aritmética de 200 Períodos, em %.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3" authorId="0" shapeId="0" xr:uid="{6862F527-FBF0-445D-8379-D0D2A1CCCB56}">
      <text>
        <r>
          <rPr>
            <b/>
            <sz val="9"/>
            <color indexed="81"/>
            <rFont val="Segoe UI"/>
            <family val="2"/>
          </rPr>
          <t>Índice de força relativa de 2 períodos, varia de 0 a 100, quanto mais próxima de 0 mais sobrevendido, quando mais próximo de 100 mais sobrecomprado.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N3" authorId="0" shapeId="0" xr:uid="{326E1111-F170-4A1F-AAF2-668BF4DFD8F0}">
      <text>
        <r>
          <rPr>
            <b/>
            <sz val="9"/>
            <color indexed="81"/>
            <rFont val="Segoe UI"/>
            <family val="2"/>
          </rPr>
          <t>Índice de força relativa de 9 períodos, varia de 0 a 100, quanto mais próxima de 0 mais sobrevendido, quando mais próximo de 100 mais sobrecomprado.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O3" authorId="0" shapeId="0" xr:uid="{7DD17A85-1F2A-445D-BA7D-B6CEE682C818}">
      <text>
        <r>
          <rPr>
            <b/>
            <sz val="9"/>
            <color indexed="81"/>
            <rFont val="Segoe UI"/>
            <family val="2"/>
          </rPr>
          <t>Coeficiente angular do IFR 9, dos ultimos 5 periodos, mostra se o IFR está subindo ou descendo e com que velocidade. Varia de -90 a 90</t>
        </r>
      </text>
    </comment>
    <comment ref="P3" authorId="0" shapeId="0" xr:uid="{25DA888A-1C02-48F2-9963-E6E9ECB3FAB7}">
      <text>
        <r>
          <rPr>
            <b/>
            <sz val="9"/>
            <color indexed="81"/>
            <rFont val="Segoe UI"/>
            <family val="2"/>
          </rPr>
          <t>Indicador Estocástico</t>
        </r>
      </text>
    </comment>
    <comment ref="Q3" authorId="0" shapeId="0" xr:uid="{76994FDE-E5AE-4FE0-B142-F627CB491C6D}">
      <text>
        <r>
          <rPr>
            <b/>
            <sz val="9"/>
            <color indexed="81"/>
            <rFont val="Segoe UI"/>
            <family val="2"/>
          </rPr>
          <t>Volume negociado / Média de volume nos ultimos 9 períodos</t>
        </r>
      </text>
    </comment>
    <comment ref="R3" authorId="0" shapeId="0" xr:uid="{71FD17FC-0000-4017-93BB-552C6B07CB7B}">
      <text>
        <r>
          <rPr>
            <b/>
            <sz val="9"/>
            <color indexed="81"/>
            <rFont val="Segoe UI"/>
            <family val="2"/>
          </rPr>
          <t>Volume negociado / Média de volume nos ultimos 20 períodos</t>
        </r>
      </text>
    </comment>
    <comment ref="S3" authorId="0" shapeId="0" xr:uid="{1605397D-C122-4819-8C77-1AEBAA878B61}">
      <text>
        <r>
          <rPr>
            <b/>
            <sz val="9"/>
            <color indexed="81"/>
            <rFont val="Segoe UI"/>
            <family val="2"/>
          </rPr>
          <t>Coeficiente angular do indicador obv nos últimos 5 períodos. Basicamente mostra se o volume tem sido comprador ou vendedor e com qual intensidade. Varia de -90 a 90.</t>
        </r>
      </text>
    </comment>
    <comment ref="T3" authorId="0" shapeId="0" xr:uid="{0D991550-F056-413D-8630-1B0DD9E76B85}">
      <text>
        <r>
          <rPr>
            <b/>
            <sz val="9"/>
            <color indexed="81"/>
            <rFont val="Segoe UI"/>
            <family val="2"/>
          </rPr>
          <t>Mosta a amplitude das bandas de bollinger em relação a média usada (20 períodos) É o tamanho da "boca"das bandas</t>
        </r>
      </text>
    </comment>
    <comment ref="U3" authorId="0" shapeId="0" xr:uid="{63676F4D-3A84-4412-BEE4-5B10AB12C807}">
      <text>
        <r>
          <rPr>
            <b/>
            <sz val="9"/>
            <color indexed="81"/>
            <rFont val="Segoe UI"/>
            <family val="2"/>
          </rPr>
          <t>Velocidade com que a "boca" das bandas de bollinger estão abrindo (valor positivo) ou se fechando (valor negativo). Varia entre -90 e 90.</t>
        </r>
      </text>
    </comment>
    <comment ref="V3" authorId="0" shapeId="0" xr:uid="{EF189ED9-06BF-497E-9B11-A38DDE416DBE}">
      <text>
        <r>
          <rPr>
            <b/>
            <sz val="9"/>
            <color indexed="81"/>
            <rFont val="Segoe UI"/>
            <family val="2"/>
          </rPr>
          <t>Preço / Valor da Banda Superior. Indica se está próximo ou se ja rompeu a banda superior.</t>
        </r>
      </text>
    </comment>
    <comment ref="W3" authorId="0" shapeId="0" xr:uid="{15FCD1E4-DB3D-47EF-81F7-30EFDDE712DB}">
      <text>
        <r>
          <rPr>
            <b/>
            <sz val="9"/>
            <color indexed="81"/>
            <rFont val="Segoe UI"/>
            <family val="2"/>
          </rPr>
          <t>Preço / Valor da Banda Inferior. Indica se está próximo ou se ja rompeu a banda inferior.</t>
        </r>
      </text>
    </comment>
    <comment ref="X3" authorId="0" shapeId="0" xr:uid="{CB9CF609-4593-49BB-B819-72442CF77B44}">
      <text>
        <r>
          <rPr>
            <b/>
            <sz val="9"/>
            <color indexed="81"/>
            <rFont val="Segoe UI"/>
            <family val="2"/>
          </rPr>
          <t>Volatilidade 21 períodos anualizada.</t>
        </r>
      </text>
    </comment>
    <comment ref="Y3" authorId="0" shapeId="0" xr:uid="{BB2CAC26-34DF-4C8B-B2C7-3F0EB9AF4448}">
      <text>
        <r>
          <rPr>
            <b/>
            <sz val="9"/>
            <color indexed="81"/>
            <rFont val="Segoe UI"/>
            <family val="2"/>
          </rPr>
          <t>Volatilidade 252 períodos anualizada.</t>
        </r>
      </text>
    </comment>
    <comment ref="Z3" authorId="0" shapeId="0" xr:uid="{3250F3CD-CCCF-4B7D-B2CD-5C963DCF219C}">
      <text>
        <r>
          <rPr>
            <b/>
            <sz val="9"/>
            <color indexed="81"/>
            <rFont val="Segoe UI"/>
            <family val="2"/>
          </rPr>
          <t>Indicador ADX 14 períodos. ADX indica se o ativo está em tendência (valores mais altos, acima de 25) ou se esta lateralizado.</t>
        </r>
      </text>
    </comment>
    <comment ref="AA3" authorId="0" shapeId="0" xr:uid="{DABD06CB-A4C2-4ACC-A9B6-827DE9BE57AA}">
      <text>
        <r>
          <rPr>
            <b/>
            <sz val="9"/>
            <color indexed="81"/>
            <rFont val="Segoe UI"/>
            <family val="2"/>
          </rPr>
          <t>Coeficiente angular do ADX, mostra se o indicador está subindo ou caindo e com qual velocidade. Varia de -90 a 90.</t>
        </r>
      </text>
    </comment>
    <comment ref="AB3" authorId="0" shapeId="0" xr:uid="{4730D907-73E9-4A39-827E-3DA23021CC70}">
      <text>
        <r>
          <rPr>
            <sz val="9"/>
            <color indexed="81"/>
            <rFont val="Segoe UI"/>
            <charset val="1"/>
          </rPr>
          <t xml:space="preserve">Indicador ATR 14 períodos. Quanto maior o valor, maior a volatilidade do ativo entre maximas e minimas no periodo.
</t>
        </r>
      </text>
    </comment>
    <comment ref="AC3" authorId="0" shapeId="0" xr:uid="{A14759D6-F028-4ECB-B8E4-4EC95F871FE7}">
      <text>
        <r>
          <rPr>
            <sz val="9"/>
            <color indexed="81"/>
            <rFont val="Segoe UI"/>
            <charset val="1"/>
          </rPr>
          <t xml:space="preserve">Coeficiente angular do ATR, mostra se o indicador está subindo ou caindo e com qual velocidade. Varia de -90 a 90.
</t>
        </r>
      </text>
    </comment>
    <comment ref="AD3" authorId="0" shapeId="0" xr:uid="{72199D22-0139-4DBD-B06E-AECF8CA57C05}">
      <text>
        <r>
          <rPr>
            <sz val="9"/>
            <color indexed="81"/>
            <rFont val="Segoe UI"/>
            <charset val="1"/>
          </rPr>
          <t xml:space="preserve">Indica formação de Inside Bar.
</t>
        </r>
      </text>
    </comment>
    <comment ref="AE3" authorId="0" shapeId="0" xr:uid="{25780322-5726-4C5C-9B3F-A67EE51DB6E9}">
      <text>
        <r>
          <rPr>
            <b/>
            <sz val="9"/>
            <color indexed="81"/>
            <rFont val="Segoe UI"/>
            <charset val="1"/>
          </rPr>
          <t>Indica potencial ativação da agulhada de Didi Aguiar.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AF3" authorId="0" shapeId="0" xr:uid="{C837EB10-9D54-4B39-8451-B8BD36CE73D9}">
      <text>
        <r>
          <rPr>
            <b/>
            <sz val="9"/>
            <color indexed="81"/>
            <rFont val="Segoe UI"/>
            <charset val="1"/>
          </rPr>
          <t>Compara tendência de preço, com tend de IFR e OBV. Se forem divergentes, indica uma possível venda (-1) ou compra (+1)</t>
        </r>
      </text>
    </comment>
    <comment ref="AG3" authorId="0" shapeId="0" xr:uid="{C189B9CD-DE8C-4658-84F5-0E686D00EDB3}">
      <text>
        <r>
          <rPr>
            <b/>
            <sz val="9"/>
            <color indexed="81"/>
            <rFont val="Segoe UI"/>
            <charset val="1"/>
          </rPr>
          <t>Inversão de MACD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AH3" authorId="0" shapeId="0" xr:uid="{717DF1BE-8CC8-47C4-AA3B-3D902D934C52}">
      <text>
        <r>
          <rPr>
            <sz val="9"/>
            <color indexed="81"/>
            <rFont val="Segoe UI"/>
            <charset val="1"/>
          </rPr>
          <t xml:space="preserve">Inversão de Direção na MME9
</t>
        </r>
      </text>
    </comment>
    <comment ref="AI3" authorId="0" shapeId="0" xr:uid="{7A6C31BC-4110-441A-AE47-6A5719681093}">
      <text>
        <r>
          <rPr>
            <sz val="9"/>
            <color indexed="81"/>
            <rFont val="Segoe UI"/>
            <charset val="1"/>
          </rPr>
          <t xml:space="preserve">Análise de IFR 2 acima de 90 (venda -1) ou abaixo de 10 (compra +1), levando em conta filtro de tendencia de medias moveis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613545-FD31-4069-8A7C-5187F6160B95}" keepAlive="1" name="Consulta - bovespa_candles_last_date" description="Conexão com a consulta 'bovespa_candles_last_date' na pasta de trabalho." type="5" refreshedVersion="6" background="1" saveData="1">
    <dbPr connection="Provider=Microsoft.Mashup.OleDb.1;Data Source=$Workbook$;Location=bovespa_candles_last_date;Extended Properties=&quot;&quot;" command="SELECT * FROM [bovespa_candles_last_date]"/>
  </connection>
  <connection id="2" xr16:uid="{872719C4-D696-4202-8982-291EF230950B}" keepAlive="1" name="Consulta - bovespa_diario_last_date" description="Conexão com a consulta 'bovespa_diario_last_date' na pasta de trabalho." type="5" refreshedVersion="6" background="1" saveData="1">
    <dbPr connection="Provider=Microsoft.Mashup.OleDb.1;Data Source=$Workbook$;Location=bovespa_diario_last_date;Extended Properties=&quot;&quot;" command="SELECT * FROM [bovespa_diario_last_date]"/>
  </connection>
</connections>
</file>

<file path=xl/sharedStrings.xml><?xml version="1.0" encoding="utf-8"?>
<sst xmlns="http://schemas.openxmlformats.org/spreadsheetml/2006/main" count="779" uniqueCount="352">
  <si>
    <t>Date</t>
  </si>
  <si>
    <t>High</t>
  </si>
  <si>
    <t>Low</t>
  </si>
  <si>
    <t>Open</t>
  </si>
  <si>
    <t>Close</t>
  </si>
  <si>
    <t>Volume</t>
  </si>
  <si>
    <t>Adj Close</t>
  </si>
  <si>
    <t>LastPrice</t>
  </si>
  <si>
    <t>PctReturn</t>
  </si>
  <si>
    <t>LogReturn</t>
  </si>
  <si>
    <t>Body</t>
  </si>
  <si>
    <t>Shadow_Lower</t>
  </si>
  <si>
    <t>Shadow_Upper</t>
  </si>
  <si>
    <t>Body_Relative</t>
  </si>
  <si>
    <t>Shadow_Lower_Relative</t>
  </si>
  <si>
    <t>Shadow_Upper_Relative</t>
  </si>
  <si>
    <t>Volatility_Anual</t>
  </si>
  <si>
    <t>Volatility_Month</t>
  </si>
  <si>
    <t>Last_Returns_10</t>
  </si>
  <si>
    <t>Trend5</t>
  </si>
  <si>
    <t>Trend9</t>
  </si>
  <si>
    <t>Trend14</t>
  </si>
  <si>
    <t>Trend20</t>
  </si>
  <si>
    <t>Momentum_10</t>
  </si>
  <si>
    <t>Momentum_10_SMA_9</t>
  </si>
  <si>
    <t>OBVsign</t>
  </si>
  <si>
    <t>OBV</t>
  </si>
  <si>
    <t>OBV_Trend5</t>
  </si>
  <si>
    <t>OBV_Trend14</t>
  </si>
  <si>
    <t>ADX14</t>
  </si>
  <si>
    <t>ADX14_Trend5</t>
  </si>
  <si>
    <t>ADX14_Trend14</t>
  </si>
  <si>
    <t>ATR14</t>
  </si>
  <si>
    <t>ATR14_Trend5</t>
  </si>
  <si>
    <t>ATR14_Trend14</t>
  </si>
  <si>
    <t>SMA3</t>
  </si>
  <si>
    <t>SMA8</t>
  </si>
  <si>
    <t>SMA20</t>
  </si>
  <si>
    <t>SMA20_STD</t>
  </si>
  <si>
    <t>SMA200</t>
  </si>
  <si>
    <t>Bollinger_Sup</t>
  </si>
  <si>
    <t>Bollinger_Inf</t>
  </si>
  <si>
    <t>Bollinger_Spread</t>
  </si>
  <si>
    <t>Bollinger_Spread_Trend5</t>
  </si>
  <si>
    <t>Bollinger_Spread_Trend14</t>
  </si>
  <si>
    <t>IFR_2</t>
  </si>
  <si>
    <t>IFR</t>
  </si>
  <si>
    <t>IFR_Trend5</t>
  </si>
  <si>
    <t>IFR_Trend14</t>
  </si>
  <si>
    <t>EMA9</t>
  </si>
  <si>
    <t>EMA9_Trend9</t>
  </si>
  <si>
    <t>EMA12</t>
  </si>
  <si>
    <t>EMA21</t>
  </si>
  <si>
    <t>EMA26</t>
  </si>
  <si>
    <t>EMA50</t>
  </si>
  <si>
    <t>EMA50_Trend14</t>
  </si>
  <si>
    <t>EMA200</t>
  </si>
  <si>
    <t>MACD</t>
  </si>
  <si>
    <t>MACD_Signal</t>
  </si>
  <si>
    <t>MACD_Hist</t>
  </si>
  <si>
    <t>MACD_Hist_Trend5</t>
  </si>
  <si>
    <t>MACD_Hist_Trend14</t>
  </si>
  <si>
    <t>SMA9_VOLUME</t>
  </si>
  <si>
    <t>SMA20_VOLUME</t>
  </si>
  <si>
    <t>SMA200_VOLUME</t>
  </si>
  <si>
    <t>STOCHASTIC_K_FAST</t>
  </si>
  <si>
    <t>STOCHASTIC_D_FAST</t>
  </si>
  <si>
    <t>STOCHASTIC_K_SLOW</t>
  </si>
  <si>
    <t>STOCHASTIC_D_SLOW</t>
  </si>
  <si>
    <t>STO_Trend5</t>
  </si>
  <si>
    <t>STO_Trend14</t>
  </si>
  <si>
    <t>#Romp_EMA9_Bear</t>
  </si>
  <si>
    <t>#Romp_EMA9_Bull</t>
  </si>
  <si>
    <t>#Romp_EMA50_Bear</t>
  </si>
  <si>
    <t>#Romp_EMA50_Bull</t>
  </si>
  <si>
    <t>#MACDH_Change_Bear</t>
  </si>
  <si>
    <t>#MACDH_Change_Bull</t>
  </si>
  <si>
    <t>#EMA9_Change_Bear</t>
  </si>
  <si>
    <t>#EMA9_Change_Bull</t>
  </si>
  <si>
    <t>#Trend_Divergence_Bear</t>
  </si>
  <si>
    <t>#Trend_Divergence_Bull</t>
  </si>
  <si>
    <t>#IFR2_Bear</t>
  </si>
  <si>
    <t>#IFR2_Bull</t>
  </si>
  <si>
    <t>#AGULHADA</t>
  </si>
  <si>
    <t>#INSIDEBAR_Bull</t>
  </si>
  <si>
    <t>Stock</t>
  </si>
  <si>
    <t>^B</t>
  </si>
  <si>
    <t>VALE3</t>
  </si>
  <si>
    <t>VVAR3</t>
  </si>
  <si>
    <t>PETR4</t>
  </si>
  <si>
    <t>BBDC4</t>
  </si>
  <si>
    <t>ITUB4</t>
  </si>
  <si>
    <t>MGLU3</t>
  </si>
  <si>
    <t>B3SA3</t>
  </si>
  <si>
    <t>BBAS3</t>
  </si>
  <si>
    <t>IRBR3</t>
  </si>
  <si>
    <t>ABEV3</t>
  </si>
  <si>
    <t>OIBR3</t>
  </si>
  <si>
    <t>LAME4</t>
  </si>
  <si>
    <t>AZUL4</t>
  </si>
  <si>
    <t>CIEL3</t>
  </si>
  <si>
    <t>PETR3</t>
  </si>
  <si>
    <t>JBSS3</t>
  </si>
  <si>
    <t>BPAC11</t>
  </si>
  <si>
    <t>RENT3</t>
  </si>
  <si>
    <t>BTOW3</t>
  </si>
  <si>
    <t>ITSA4</t>
  </si>
  <si>
    <t>WEGE3</t>
  </si>
  <si>
    <t>LREN3</t>
  </si>
  <si>
    <t>SUZB3</t>
  </si>
  <si>
    <t>GGBR4</t>
  </si>
  <si>
    <t>GOLL4</t>
  </si>
  <si>
    <t>GNDI3</t>
  </si>
  <si>
    <t>SBSP3</t>
  </si>
  <si>
    <t>BRFS3</t>
  </si>
  <si>
    <t>CYRE3</t>
  </si>
  <si>
    <t>RAIL3</t>
  </si>
  <si>
    <t>BRDT3</t>
  </si>
  <si>
    <t>EQTL3</t>
  </si>
  <si>
    <t>RADL3</t>
  </si>
  <si>
    <t>MRFG3</t>
  </si>
  <si>
    <t>USIM5</t>
  </si>
  <si>
    <t>SULA11</t>
  </si>
  <si>
    <t>BRML3</t>
  </si>
  <si>
    <t>CSNA3</t>
  </si>
  <si>
    <t>HYPE3</t>
  </si>
  <si>
    <t>KLBN11</t>
  </si>
  <si>
    <t>PRIO3</t>
  </si>
  <si>
    <t>PCAR3</t>
  </si>
  <si>
    <t>CSAN3</t>
  </si>
  <si>
    <t>CVCB3</t>
  </si>
  <si>
    <t>CRFB3</t>
  </si>
  <si>
    <t>MULT3</t>
  </si>
  <si>
    <t>BBSE3</t>
  </si>
  <si>
    <t>UGPA3</t>
  </si>
  <si>
    <t>HAPV3</t>
  </si>
  <si>
    <t>TOTS3</t>
  </si>
  <si>
    <t>QUAL3</t>
  </si>
  <si>
    <t>GOAU4</t>
  </si>
  <si>
    <t>JHSF3</t>
  </si>
  <si>
    <t>CCRO3</t>
  </si>
  <si>
    <t>EZTC3</t>
  </si>
  <si>
    <t>CMIG4</t>
  </si>
  <si>
    <t>EMBR3</t>
  </si>
  <si>
    <t>YDUQ3</t>
  </si>
  <si>
    <t>ELET6</t>
  </si>
  <si>
    <t>BEEF3</t>
  </si>
  <si>
    <t>BRAP4</t>
  </si>
  <si>
    <t>MRVE3</t>
  </si>
  <si>
    <t>CPFE3</t>
  </si>
  <si>
    <t>EGIE3</t>
  </si>
  <si>
    <t>IGTA3</t>
  </si>
  <si>
    <t>LINX3</t>
  </si>
  <si>
    <t>ENEV3</t>
  </si>
  <si>
    <t>BRKM5</t>
  </si>
  <si>
    <t>ECOR3</t>
  </si>
  <si>
    <t>SAPR11</t>
  </si>
  <si>
    <t>CESP6</t>
  </si>
  <si>
    <t>MEAL3</t>
  </si>
  <si>
    <t>FLRY3</t>
  </si>
  <si>
    <t>LCAM3</t>
  </si>
  <si>
    <t>ALPA4</t>
  </si>
  <si>
    <t>GFSA3</t>
  </si>
  <si>
    <t>AMAR3</t>
  </si>
  <si>
    <t>HGTX3</t>
  </si>
  <si>
    <t>MOVI3</t>
  </si>
  <si>
    <t>LIGT3</t>
  </si>
  <si>
    <t>ALSO3</t>
  </si>
  <si>
    <t>PSSA3</t>
  </si>
  <si>
    <t>ENBR3</t>
  </si>
  <si>
    <t>EVEN3</t>
  </si>
  <si>
    <t>TEND3</t>
  </si>
  <si>
    <t>MDIA3</t>
  </si>
  <si>
    <t>VIVA3</t>
  </si>
  <si>
    <t>SMLS3</t>
  </si>
  <si>
    <t>RAPT4</t>
  </si>
  <si>
    <t>TRPL4</t>
  </si>
  <si>
    <t>POMO4</t>
  </si>
  <si>
    <t>BRSR6</t>
  </si>
  <si>
    <t>SMTO3</t>
  </si>
  <si>
    <t>ARZZ3</t>
  </si>
  <si>
    <t>MYPK3</t>
  </si>
  <si>
    <t>BRPR3</t>
  </si>
  <si>
    <t>SLCE3</t>
  </si>
  <si>
    <t>TCSA3</t>
  </si>
  <si>
    <t>TRIS3</t>
  </si>
  <si>
    <t>DIRR3</t>
  </si>
  <si>
    <t>GUAR3</t>
  </si>
  <si>
    <t>POSI3</t>
  </si>
  <si>
    <t>CMIG3</t>
  </si>
  <si>
    <t>SQIA3</t>
  </si>
  <si>
    <t>IFR2</t>
  </si>
  <si>
    <t>IFR9</t>
  </si>
  <si>
    <t>STO</t>
  </si>
  <si>
    <t>OBV T5</t>
  </si>
  <si>
    <t>PRICE T5</t>
  </si>
  <si>
    <t>PRICE T14</t>
  </si>
  <si>
    <t>BOL SPREAD</t>
  </si>
  <si>
    <t>BOL SPREAD T5</t>
  </si>
  <si>
    <t>STOCK</t>
  </si>
  <si>
    <t>ADJ. CLOSE</t>
  </si>
  <si>
    <t>BOL SUP</t>
  </si>
  <si>
    <t>BOL INF</t>
  </si>
  <si>
    <t>Bollinger_Sup%</t>
  </si>
  <si>
    <t>Bollinger_Inf%</t>
  </si>
  <si>
    <t>COGN3</t>
  </si>
  <si>
    <t>BIDI11</t>
  </si>
  <si>
    <t>CPLE6</t>
  </si>
  <si>
    <t>ENGI11</t>
  </si>
  <si>
    <t>NTCO3</t>
  </si>
  <si>
    <t>ALUP11</t>
  </si>
  <si>
    <t>VIVT3</t>
  </si>
  <si>
    <t>ANIM3</t>
  </si>
  <si>
    <t>BKBR3</t>
  </si>
  <si>
    <t>BMGB4</t>
  </si>
  <si>
    <t>CAML3</t>
  </si>
  <si>
    <t>CCPR3</t>
  </si>
  <si>
    <t>CEAB3</t>
  </si>
  <si>
    <t>CSMG3</t>
  </si>
  <si>
    <t>DMMO3</t>
  </si>
  <si>
    <t>DTEX3</t>
  </si>
  <si>
    <t>ENAT3</t>
  </si>
  <si>
    <t>GRND3</t>
  </si>
  <si>
    <t>HBOR3</t>
  </si>
  <si>
    <t>LEVE3</t>
  </si>
  <si>
    <t>JPSA3</t>
  </si>
  <si>
    <t>LJQQ3</t>
  </si>
  <si>
    <t>LOGG3</t>
  </si>
  <si>
    <t>LOGN3</t>
  </si>
  <si>
    <t>LPSB3</t>
  </si>
  <si>
    <t>LWSA3</t>
  </si>
  <si>
    <t>MILS3</t>
  </si>
  <si>
    <t>MTRE3</t>
  </si>
  <si>
    <t>ODPV3</t>
  </si>
  <si>
    <t>OMGE3</t>
  </si>
  <si>
    <t>PARD3</t>
  </si>
  <si>
    <t>PTBL3</t>
  </si>
  <si>
    <t>RCSL4</t>
  </si>
  <si>
    <t>ROMI3</t>
  </si>
  <si>
    <t>UNIP6</t>
  </si>
  <si>
    <t>WIZS3</t>
  </si>
  <si>
    <t>SIMH3</t>
  </si>
  <si>
    <t>SEER3</t>
  </si>
  <si>
    <t>TASA4</t>
  </si>
  <si>
    <t>TGMA3</t>
  </si>
  <si>
    <t>DMVF3</t>
  </si>
  <si>
    <t>AALR3</t>
  </si>
  <si>
    <t>PRNR3</t>
  </si>
  <si>
    <t>APER3</t>
  </si>
  <si>
    <t>FRAS3</t>
  </si>
  <si>
    <t>IFR9 T5</t>
  </si>
  <si>
    <t>VOL 21P</t>
  </si>
  <si>
    <t>VOL 252P</t>
  </si>
  <si>
    <t>%</t>
  </si>
  <si>
    <t>candlestick_pattern</t>
  </si>
  <si>
    <t>candlestick_match_count</t>
  </si>
  <si>
    <t>CDLBELTHOLD_Bull</t>
  </si>
  <si>
    <t>CDL3OUTSIDE_Bear</t>
  </si>
  <si>
    <t>EMA9%</t>
  </si>
  <si>
    <t>EMA50%</t>
  </si>
  <si>
    <t>EMA200%</t>
  </si>
  <si>
    <t>PATTERN</t>
  </si>
  <si>
    <t>EMA9%.</t>
  </si>
  <si>
    <t>ADX T5</t>
  </si>
  <si>
    <t>ADX 14P</t>
  </si>
  <si>
    <t>EMA50%.</t>
  </si>
  <si>
    <t>EMA200%.</t>
  </si>
  <si>
    <t>#INSIDE</t>
  </si>
  <si>
    <t>#DIDI</t>
  </si>
  <si>
    <t>ATR 14P</t>
  </si>
  <si>
    <t>ATR T5</t>
  </si>
  <si>
    <t>-</t>
  </si>
  <si>
    <t>EMA21%</t>
  </si>
  <si>
    <t>#Romp_EMA9</t>
  </si>
  <si>
    <t>#Romp_EMA50</t>
  </si>
  <si>
    <t>#MACDH_Change</t>
  </si>
  <si>
    <t>#EMA9_Change</t>
  </si>
  <si>
    <t>#Trend_Divergence</t>
  </si>
  <si>
    <t>#IFR2</t>
  </si>
  <si>
    <t>#INSIDEBAR_Bear</t>
  </si>
  <si>
    <t>#INSIDEBAR</t>
  </si>
  <si>
    <t>CDLSHORTLINE_Bear</t>
  </si>
  <si>
    <t>CDLHIKKAKE_Bear</t>
  </si>
  <si>
    <t>CDLBELTHOLD_Bear</t>
  </si>
  <si>
    <t>CDLRICKSHAWMAN_Bull</t>
  </si>
  <si>
    <t>CDLHIKKAKE_Bull</t>
  </si>
  <si>
    <t>CDLSHORTLINE_Bull</t>
  </si>
  <si>
    <t>NO_PATTERN</t>
  </si>
  <si>
    <t>CDLLONGLINE_Bull</t>
  </si>
  <si>
    <t>SHADOW UPPER</t>
  </si>
  <si>
    <t>SHADOW LOWER</t>
  </si>
  <si>
    <t>#IFR 2</t>
  </si>
  <si>
    <t>#DIVERGENCIA</t>
  </si>
  <si>
    <t>#MACD CHANGE</t>
  </si>
  <si>
    <t>#EMA9 CHANGE</t>
  </si>
  <si>
    <t>CDLLONGLEGGEDDOJI_Bull</t>
  </si>
  <si>
    <t>CDLHARAMI_Bull</t>
  </si>
  <si>
    <t>SMA9_VOLUME%</t>
  </si>
  <si>
    <t>SMA20_VOLUME%</t>
  </si>
  <si>
    <t>Volume 9P</t>
  </si>
  <si>
    <t>Volume 20P</t>
  </si>
  <si>
    <t>(vazio)</t>
  </si>
  <si>
    <t>CDLSPINNINGTOP_Bull</t>
  </si>
  <si>
    <t>CDLSPINNINGTOP_Bear</t>
  </si>
  <si>
    <t>CDLENGULFING_Bear</t>
  </si>
  <si>
    <t>CDLMATCHINGLOW_Bull</t>
  </si>
  <si>
    <t>PATTERN SIGNAL</t>
  </si>
  <si>
    <t>Pattern Signal.</t>
  </si>
  <si>
    <t>LAST CANDLES PATTERNS</t>
  </si>
  <si>
    <t xml:space="preserve">PREMISSAS IMPORTANTES ANTES DE USAR A PLANILHA </t>
  </si>
  <si>
    <t>Utilizar a aba Pivot Table para fazer análisar</t>
  </si>
  <si>
    <t>A explicação do que são os campos está nos comentários (triangulo vermelho) logo acima da coluna</t>
  </si>
  <si>
    <t>O código que faz o web scrapping e calcula os indicadores foi feito em python, é um código proprietário e não está vínculado a essa planilha, essa planilha apenas espelha os dados e formata</t>
  </si>
  <si>
    <t>Os dados são provenientes do yahoo finance, logo não são 100% confiáveis, podem ter divergências dos reais preços negociados, influenciando o cálculo dos indicadores</t>
  </si>
  <si>
    <t>SETUPs</t>
  </si>
  <si>
    <t>Como eu costumo analisar essa planilha</t>
  </si>
  <si>
    <t>Não olho nenhum indicador isoladamente.</t>
  </si>
  <si>
    <t>É um conjunto dos indicadores que pode dar uma possível compra</t>
  </si>
  <si>
    <t>Ex:</t>
  </si>
  <si>
    <t>Tenho interesse por fundamento em adquirir SIMH3, vejo que o IFR2 está abaixo de 10, obv com tendencia de compra e formou um padrão de candle bullish.</t>
  </si>
  <si>
    <t>Quanto tem uma coluna com um "T5" ao lado do indicador significa que estou analisando o coeficiente angular desse indicador nos ultimos 5 periodos</t>
  </si>
  <si>
    <t>Basicamente, o coef angular mostra a intensidade que um indicador está se movimentando</t>
  </si>
  <si>
    <t>IFR9 pode estar com valor 80 nesse momento</t>
  </si>
  <si>
    <t>Se o IFR9 T5 for 70, significada que o IFR esta subindo rapido nos ultimos 5 periodos</t>
  </si>
  <si>
    <t>Se o IFR9 T5 for 4 significa que o IFR esta de lado nesse periodo</t>
  </si>
  <si>
    <t>Se o IFR9 T5 for -40 significa que o indicador vem caindo com certa intensidade</t>
  </si>
  <si>
    <t>Por isso gosto de analisar o indicador no screener junto com o coeficiente angular</t>
  </si>
  <si>
    <t>Todos os valores e indicadores sao baseados em dados diários</t>
  </si>
  <si>
    <t>Essa planilha é mais indicada para swing trade ou para filtrar ativos que serão negociados no day trade no dia seguinte</t>
  </si>
  <si>
    <t>Geralmente uso a planilha para selecionar ativos e entao analisar o price action mais a fundo, e não simplesmente 'sortear' ativos para olhar</t>
  </si>
  <si>
    <t>Geralmente dou um sort A-&gt; Z ou Z -&gt; A na coluna que quero verificar quais ativos estão mostrando fatores interessantes</t>
  </si>
  <si>
    <t xml:space="preserve">Vou até a coluna de banda de bollinger superior, dou um sort de Z -&gt; A e vejo quais ativos estão fechando acima da banda superior de bollinger e tambem confiro o indicador boll spread T5 para ver </t>
  </si>
  <si>
    <t>se a tendência da boca das bandas é abrir ou se está se fechando, alem de olhar outros indicadores</t>
  </si>
  <si>
    <t>Atualizado em:</t>
  </si>
  <si>
    <t>Repito, os indicadores podem ter o valor um pouco diferente do profit ou tradingview pq o yahoo finance não é confiável.</t>
  </si>
  <si>
    <t>CDLCLOSINGMARUBOZU_Bull</t>
  </si>
  <si>
    <t>SANB11</t>
  </si>
  <si>
    <t>TAEE11</t>
  </si>
  <si>
    <t>CDLSHOOTINGSTAR_Bear</t>
  </si>
  <si>
    <t>CDLHANGINGMAN_Bear</t>
  </si>
  <si>
    <t>Está em desenvolvimento ainda, é uma versão alfa</t>
  </si>
  <si>
    <t>CDL3INSIDE_Bull</t>
  </si>
  <si>
    <t>CDLHARAMI_Bear</t>
  </si>
  <si>
    <t>CDLCLOSINGMARUBOZU_Bear</t>
  </si>
  <si>
    <t>CDLLONGLINE_Bear</t>
  </si>
  <si>
    <t>CDLHIGHWAVE_Bear</t>
  </si>
  <si>
    <t>CDLLADDERBOTTOM_Bull</t>
  </si>
  <si>
    <t>CDLHIGHWAVE_Bull</t>
  </si>
  <si>
    <t>CDL3WHITESOLDIERS_Bull</t>
  </si>
  <si>
    <t>CDLONNECK_Bear</t>
  </si>
  <si>
    <t>CDLHIKKAKEMOD_Bull</t>
  </si>
  <si>
    <t>VIIA3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</si>
</sst>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&quot;R$&quot;\ #,##0.00"/>
    <numFmt numFmtId="165" formatCode="0.0%"/>
    <numFmt numFmtId="166" formatCode="0.00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NumberFormat="1"/>
    <xf numFmtId="2" fontId="0" fillId="0" borderId="0" xfId="0" applyNumberFormat="1"/>
    <xf numFmtId="0" fontId="2" fillId="0" borderId="0" xfId="0" applyFont="1" applyAlignment="1">
      <alignment horizontal="center"/>
    </xf>
    <xf numFmtId="14" fontId="0" fillId="0" borderId="0" xfId="0" applyNumberFormat="1"/>
    <xf numFmtId="1" fontId="0" fillId="0" borderId="0" xfId="0" applyNumberFormat="1"/>
    <xf numFmtId="2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9" fontId="2" fillId="0" borderId="0" xfId="0" applyNumberFormat="1" applyFont="1" applyAlignment="1">
      <alignment horizontal="center"/>
    </xf>
    <xf numFmtId="166" fontId="0" fillId="0" borderId="0" xfId="0" applyNumberFormat="1"/>
    <xf numFmtId="2" fontId="4" fillId="2" borderId="0" xfId="0" applyNumberFormat="1" applyFont="1" applyFill="1" applyAlignment="1">
      <alignment horizontal="center"/>
    </xf>
    <xf numFmtId="9" fontId="4" fillId="2" borderId="0" xfId="0" applyNumberFormat="1" applyFont="1" applyFill="1" applyAlignment="1">
      <alignment horizontal="center"/>
    </xf>
    <xf numFmtId="1" fontId="4" fillId="2" borderId="0" xfId="0" applyNumberFormat="1" applyFont="1" applyFill="1" applyAlignment="1">
      <alignment horizontal="center"/>
    </xf>
    <xf numFmtId="165" fontId="4" fillId="2" borderId="0" xfId="0" applyNumberFormat="1" applyFont="1" applyFill="1" applyAlignment="1">
      <alignment horizontal="center"/>
    </xf>
    <xf numFmtId="0" fontId="0" fillId="3" borderId="0" xfId="0" applyFill="1"/>
    <xf numFmtId="0" fontId="2" fillId="0" borderId="0" xfId="0" applyFont="1" applyAlignment="1" applyProtection="1">
      <alignment horizontal="center"/>
    </xf>
    <xf numFmtId="164" fontId="2" fillId="0" borderId="0" xfId="1" applyNumberFormat="1" applyFont="1" applyAlignment="1" applyProtection="1">
      <alignment horizontal="center"/>
    </xf>
    <xf numFmtId="0" fontId="0" fillId="0" borderId="0" xfId="0" applyProtection="1"/>
    <xf numFmtId="164" fontId="0" fillId="0" borderId="0" xfId="1" applyNumberFormat="1" applyFont="1" applyProtection="1"/>
    <xf numFmtId="1" fontId="0" fillId="0" borderId="0" xfId="0" applyNumberFormat="1" applyProtection="1"/>
    <xf numFmtId="9" fontId="0" fillId="0" borderId="0" xfId="2" applyNumberFormat="1" applyFont="1" applyProtection="1"/>
    <xf numFmtId="2" fontId="0" fillId="0" borderId="0" xfId="0" applyNumberFormat="1" applyProtection="1"/>
    <xf numFmtId="165" fontId="0" fillId="0" borderId="0" xfId="0" applyNumberFormat="1" applyProtection="1"/>
    <xf numFmtId="165" fontId="0" fillId="0" borderId="0" xfId="2" applyNumberFormat="1" applyFont="1" applyProtection="1"/>
    <xf numFmtId="1" fontId="0" fillId="0" borderId="0" xfId="2" applyNumberFormat="1" applyFont="1" applyProtection="1"/>
    <xf numFmtId="164" fontId="2" fillId="0" borderId="0" xfId="0" applyNumberFormat="1" applyFont="1" applyAlignment="1">
      <alignment horizontal="center"/>
    </xf>
    <xf numFmtId="164" fontId="4" fillId="2" borderId="0" xfId="0" applyNumberFormat="1" applyFont="1" applyFill="1" applyAlignment="1">
      <alignment horizontal="center"/>
    </xf>
    <xf numFmtId="2" fontId="4" fillId="2" borderId="0" xfId="0" applyNumberFormat="1" applyFont="1" applyFill="1" applyBorder="1" applyAlignment="1">
      <alignment horizontal="center"/>
    </xf>
    <xf numFmtId="0" fontId="2" fillId="3" borderId="0" xfId="0" applyFont="1" applyFill="1" applyAlignment="1" applyProtection="1">
      <alignment horizontal="center"/>
    </xf>
    <xf numFmtId="164" fontId="2" fillId="3" borderId="0" xfId="1" applyNumberFormat="1" applyFont="1" applyFill="1" applyAlignment="1" applyProtection="1">
      <alignment horizontal="center"/>
    </xf>
    <xf numFmtId="1" fontId="0" fillId="3" borderId="0" xfId="2" applyNumberFormat="1" applyFont="1" applyFill="1" applyProtection="1"/>
    <xf numFmtId="9" fontId="0" fillId="3" borderId="0" xfId="2" applyNumberFormat="1" applyFont="1" applyFill="1" applyProtection="1"/>
    <xf numFmtId="165" fontId="0" fillId="3" borderId="0" xfId="2" applyNumberFormat="1" applyFont="1" applyFill="1" applyProtection="1"/>
    <xf numFmtId="1" fontId="0" fillId="3" borderId="0" xfId="0" applyNumberFormat="1" applyFill="1" applyProtection="1"/>
    <xf numFmtId="0" fontId="0" fillId="3" borderId="0" xfId="0" applyFill="1" applyProtection="1"/>
    <xf numFmtId="2" fontId="0" fillId="3" borderId="0" xfId="0" applyNumberFormat="1" applyFill="1" applyProtection="1"/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 applyProtection="1">
      <alignment vertical="center"/>
    </xf>
    <xf numFmtId="164" fontId="5" fillId="2" borderId="0" xfId="1" applyNumberFormat="1" applyFont="1" applyFill="1" applyAlignment="1" applyProtection="1">
      <alignment vertical="center"/>
    </xf>
    <xf numFmtId="1" fontId="5" fillId="2" borderId="0" xfId="2" applyNumberFormat="1" applyFont="1" applyFill="1" applyAlignment="1" applyProtection="1">
      <alignment vertical="center"/>
    </xf>
    <xf numFmtId="9" fontId="5" fillId="2" borderId="0" xfId="2" applyNumberFormat="1" applyFont="1" applyFill="1" applyAlignment="1" applyProtection="1">
      <alignment vertical="center"/>
    </xf>
    <xf numFmtId="165" fontId="5" fillId="2" borderId="0" xfId="2" applyNumberFormat="1" applyFont="1" applyFill="1" applyAlignment="1" applyProtection="1">
      <alignment vertical="center"/>
    </xf>
    <xf numFmtId="1" fontId="5" fillId="2" borderId="0" xfId="0" applyNumberFormat="1" applyFont="1" applyFill="1" applyAlignment="1" applyProtection="1">
      <alignment vertical="center"/>
    </xf>
    <xf numFmtId="0" fontId="5" fillId="0" borderId="0" xfId="0" applyFont="1" applyAlignment="1">
      <alignment vertical="center"/>
    </xf>
    <xf numFmtId="165" fontId="5" fillId="2" borderId="0" xfId="0" applyNumberFormat="1" applyFont="1" applyFill="1" applyAlignment="1" applyProtection="1">
      <alignment vertical="center"/>
    </xf>
    <xf numFmtId="9" fontId="5" fillId="2" borderId="0" xfId="0" applyNumberFormat="1" applyFont="1" applyFill="1" applyAlignment="1" applyProtection="1">
      <alignment vertical="center"/>
    </xf>
    <xf numFmtId="9" fontId="0" fillId="0" borderId="0" xfId="0" applyNumberFormat="1" applyProtection="1"/>
    <xf numFmtId="0" fontId="8" fillId="0" borderId="0" xfId="0" applyFont="1"/>
    <xf numFmtId="0" fontId="0" fillId="0" borderId="0" xfId="0" applyAlignment="1">
      <alignment horizontal="right"/>
    </xf>
    <xf numFmtId="0" fontId="8" fillId="0" borderId="0" xfId="0" applyFont="1" applyAlignment="1">
      <alignment horizontal="right"/>
    </xf>
    <xf numFmtId="0" fontId="8" fillId="3" borderId="0" xfId="0" applyFont="1" applyFill="1" applyAlignment="1">
      <alignment horizontal="center"/>
    </xf>
    <xf numFmtId="0" fontId="12" fillId="0" borderId="0" xfId="0" applyFont="1"/>
    <xf numFmtId="1" fontId="0" fillId="4" borderId="0" xfId="0" applyNumberFormat="1" applyFill="1" applyAlignment="1" applyProtection="1">
      <alignment horizontal="center"/>
    </xf>
    <xf numFmtId="22" fontId="11" fillId="3" borderId="0" xfId="0" applyNumberFormat="1" applyFont="1" applyFill="1" applyAlignment="1" applyProtection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723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7" formatCode="0.0"/>
    </dxf>
    <dxf>
      <numFmt numFmtId="167" formatCode="0.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64" formatCode="&quot;R$&quot;\ #,##0.00"/>
    </dxf>
    <dxf>
      <numFmt numFmtId="2" formatCode="0.00"/>
    </dxf>
    <dxf>
      <numFmt numFmtId="165" formatCode="0.0%"/>
    </dxf>
    <dxf>
      <numFmt numFmtId="165" formatCode="0.0%"/>
    </dxf>
    <dxf>
      <numFmt numFmtId="14" formatCode="0.00%"/>
    </dxf>
    <dxf>
      <font>
        <sz val="8"/>
      </font>
      <numFmt numFmtId="2" formatCode="0.00"/>
    </dxf>
    <dxf>
      <font>
        <sz val="8"/>
      </font>
      <numFmt numFmtId="2" formatCode="0.00"/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ont>
        <color rgb="FFFFFF00"/>
      </font>
    </dxf>
    <dxf>
      <font>
        <color rgb="FFFFFF00"/>
      </font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ont>
        <color theme="0"/>
      </font>
    </dxf>
    <dxf>
      <font>
        <color theme="0"/>
      </font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numFmt numFmtId="2" formatCode="0.00"/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  <dxf>
      <font>
        <sz val="8"/>
        <color theme="0"/>
      </font>
      <numFmt numFmtId="1" formatCode="0"/>
      <fill>
        <patternFill patternType="solid">
          <fgColor indexed="64"/>
          <bgColor theme="3" tint="-0.499984740745262"/>
        </patternFill>
      </fill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font>
        <sz val="8"/>
        <color theme="0"/>
      </font>
      <numFmt numFmtId="2" formatCode="0.00"/>
      <fill>
        <patternFill patternType="solid">
          <fgColor indexed="64"/>
          <bgColor theme="3" tint="-0.499984740745262"/>
        </patternFill>
      </fill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" formatCode="0"/>
    </dxf>
    <dxf>
      <numFmt numFmtId="1" formatCode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7" formatCode="0.0"/>
    </dxf>
    <dxf>
      <numFmt numFmtId="167" formatCode="0.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64" formatCode="&quot;R$&quot;\ #,##0.00"/>
    </dxf>
    <dxf>
      <numFmt numFmtId="2" formatCode="0.00"/>
    </dxf>
    <dxf>
      <numFmt numFmtId="165" formatCode="0.0%"/>
    </dxf>
    <dxf>
      <numFmt numFmtId="165" formatCode="0.0%"/>
    </dxf>
    <dxf>
      <numFmt numFmtId="14" formatCode="0.00%"/>
    </dxf>
    <dxf>
      <font>
        <sz val="8"/>
      </font>
      <numFmt numFmtId="2" formatCode="0.00"/>
    </dxf>
    <dxf>
      <font>
        <sz val="8"/>
      </font>
      <numFmt numFmtId="2" formatCode="0.00"/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ont>
        <color rgb="FFFFFF00"/>
      </font>
    </dxf>
    <dxf>
      <font>
        <color rgb="FFFFFF00"/>
      </font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ont>
        <color theme="0"/>
      </font>
    </dxf>
    <dxf>
      <font>
        <color theme="0"/>
      </font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numFmt numFmtId="2" formatCode="0.00"/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  <dxf>
      <font>
        <sz val="8"/>
        <color theme="0"/>
      </font>
      <numFmt numFmtId="1" formatCode="0"/>
      <fill>
        <patternFill patternType="solid">
          <fgColor indexed="64"/>
          <bgColor theme="3" tint="-0.499984740745262"/>
        </patternFill>
      </fill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font>
        <sz val="8"/>
        <color theme="0"/>
      </font>
      <numFmt numFmtId="2" formatCode="0.00"/>
      <fill>
        <patternFill patternType="solid">
          <fgColor indexed="64"/>
          <bgColor theme="3" tint="-0.499984740745262"/>
        </patternFill>
      </fill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" formatCode="0"/>
    </dxf>
    <dxf>
      <numFmt numFmtId="1" formatCode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7" formatCode="0.0"/>
    </dxf>
    <dxf>
      <numFmt numFmtId="167" formatCode="0.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64" formatCode="&quot;R$&quot;\ #,##0.00"/>
    </dxf>
    <dxf>
      <numFmt numFmtId="2" formatCode="0.00"/>
    </dxf>
    <dxf>
      <numFmt numFmtId="165" formatCode="0.0%"/>
    </dxf>
    <dxf>
      <numFmt numFmtId="165" formatCode="0.0%"/>
    </dxf>
    <dxf>
      <numFmt numFmtId="14" formatCode="0.00%"/>
    </dxf>
    <dxf>
      <font>
        <sz val="8"/>
      </font>
      <numFmt numFmtId="2" formatCode="0.00"/>
    </dxf>
    <dxf>
      <font>
        <sz val="8"/>
      </font>
      <numFmt numFmtId="2" formatCode="0.00"/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ont>
        <color rgb="FFFFFF00"/>
      </font>
    </dxf>
    <dxf>
      <font>
        <color rgb="FFFFFF00"/>
      </font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ont>
        <color theme="0"/>
      </font>
    </dxf>
    <dxf>
      <font>
        <color theme="0"/>
      </font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numFmt numFmtId="2" formatCode="0.00"/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  <dxf>
      <font>
        <sz val="8"/>
        <color theme="0"/>
      </font>
      <numFmt numFmtId="1" formatCode="0"/>
      <fill>
        <patternFill patternType="solid">
          <fgColor indexed="64"/>
          <bgColor theme="3" tint="-0.499984740745262"/>
        </patternFill>
      </fill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font>
        <sz val="8"/>
        <color theme="0"/>
      </font>
      <numFmt numFmtId="2" formatCode="0.00"/>
      <fill>
        <patternFill patternType="solid">
          <fgColor indexed="64"/>
          <bgColor theme="3" tint="-0.499984740745262"/>
        </patternFill>
      </fill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19" formatCode="dd/mm/yyyy"/>
    </dxf>
    <dxf>
      <numFmt numFmtId="1" formatCode="0"/>
    </dxf>
    <dxf>
      <numFmt numFmtId="0" formatCode="General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9" formatCode="dd/mm/yyyy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7" formatCode="0.0"/>
    </dxf>
    <dxf>
      <numFmt numFmtId="167" formatCode="0.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64" formatCode="&quot;R$&quot;\ #,##0.00"/>
    </dxf>
    <dxf>
      <numFmt numFmtId="2" formatCode="0.00"/>
    </dxf>
    <dxf>
      <numFmt numFmtId="165" formatCode="0.0%"/>
    </dxf>
    <dxf>
      <numFmt numFmtId="165" formatCode="0.0%"/>
    </dxf>
    <dxf>
      <numFmt numFmtId="14" formatCode="0.00%"/>
    </dxf>
    <dxf>
      <font>
        <sz val="8"/>
      </font>
      <numFmt numFmtId="2" formatCode="0.00"/>
    </dxf>
    <dxf>
      <font>
        <sz val="8"/>
      </font>
      <numFmt numFmtId="2" formatCode="0.00"/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ont>
        <color rgb="FFFFFF00"/>
      </font>
    </dxf>
    <dxf>
      <font>
        <color rgb="FFFFFF00"/>
      </font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ont>
        <color theme="0"/>
      </font>
    </dxf>
    <dxf>
      <font>
        <color theme="0"/>
      </font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numFmt numFmtId="2" formatCode="0.00"/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  <dxf>
      <font>
        <sz val="8"/>
        <color theme="0"/>
      </font>
      <numFmt numFmtId="1" formatCode="0"/>
      <fill>
        <patternFill patternType="solid">
          <fgColor indexed="64"/>
          <bgColor theme="3" tint="-0.499984740745262"/>
        </patternFill>
      </fill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font>
        <sz val="8"/>
        <color theme="0"/>
      </font>
      <numFmt numFmtId="2" formatCode="0.00"/>
      <fill>
        <patternFill patternType="solid">
          <fgColor indexed="64"/>
          <bgColor theme="3" tint="-0.499984740745262"/>
        </patternFill>
      </fill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" formatCode="0"/>
    </dxf>
    <dxf>
      <numFmt numFmtId="1" formatCode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7" formatCode="0.0"/>
    </dxf>
    <dxf>
      <numFmt numFmtId="167" formatCode="0.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64" formatCode="&quot;R$&quot;\ #,##0.00"/>
    </dxf>
    <dxf>
      <numFmt numFmtId="2" formatCode="0.00"/>
    </dxf>
    <dxf>
      <numFmt numFmtId="165" formatCode="0.0%"/>
    </dxf>
    <dxf>
      <numFmt numFmtId="165" formatCode="0.0%"/>
    </dxf>
    <dxf>
      <numFmt numFmtId="14" formatCode="0.00%"/>
    </dxf>
    <dxf>
      <font>
        <sz val="8"/>
      </font>
      <numFmt numFmtId="2" formatCode="0.00"/>
    </dxf>
    <dxf>
      <font>
        <sz val="8"/>
      </font>
      <numFmt numFmtId="2" formatCode="0.00"/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ont>
        <color rgb="FFFFFF00"/>
      </font>
    </dxf>
    <dxf>
      <font>
        <color rgb="FFFFFF00"/>
      </font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ont>
        <color theme="0"/>
      </font>
    </dxf>
    <dxf>
      <font>
        <color theme="0"/>
      </font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numFmt numFmtId="2" formatCode="0.00"/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  <dxf>
      <font>
        <sz val="8"/>
        <color theme="0"/>
      </font>
      <numFmt numFmtId="1" formatCode="0"/>
      <fill>
        <patternFill patternType="solid">
          <fgColor indexed="64"/>
          <bgColor theme="3" tint="-0.499984740745262"/>
        </patternFill>
      </fill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font>
        <sz val="8"/>
        <color theme="0"/>
      </font>
      <numFmt numFmtId="2" formatCode="0.00"/>
      <fill>
        <patternFill patternType="solid">
          <fgColor indexed="64"/>
          <bgColor theme="3" tint="-0.499984740745262"/>
        </patternFill>
      </fill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font>
        <sz val="8"/>
        <color theme="0"/>
      </font>
      <numFmt numFmtId="2" formatCode="0.00"/>
      <fill>
        <patternFill patternType="solid">
          <fgColor indexed="64"/>
          <bgColor theme="3" tint="-0.499984740745262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font>
        <sz val="8"/>
        <color theme="0"/>
      </font>
      <numFmt numFmtId="1" formatCode="0"/>
      <fill>
        <patternFill patternType="solid">
          <fgColor indexed="64"/>
          <bgColor theme="3" tint="-0.499984740745262"/>
        </patternFill>
      </fill>
    </dxf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  <dxf>
      <numFmt numFmtId="1" formatCode="0"/>
    </dxf>
    <dxf>
      <numFmt numFmtId="1" formatCode="0"/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font>
        <sz val="8"/>
        <color theme="0"/>
      </font>
      <numFmt numFmtId="2" formatCode="0.00"/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%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ont>
        <color theme="0"/>
      </font>
    </dxf>
    <dxf>
      <font>
        <color theme="0"/>
      </font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ont>
        <color rgb="FFFFFF00"/>
      </font>
    </dxf>
    <dxf>
      <font>
        <color rgb="FFFFFF00"/>
      </font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ont>
        <sz val="8"/>
      </font>
      <numFmt numFmtId="2" formatCode="0.00"/>
    </dxf>
    <dxf>
      <font>
        <sz val="8"/>
      </font>
      <numFmt numFmtId="2" formatCode="0.00"/>
    </dxf>
    <dxf>
      <numFmt numFmtId="14" formatCode="0.00%"/>
    </dxf>
    <dxf>
      <numFmt numFmtId="165" formatCode="0.0%"/>
    </dxf>
    <dxf>
      <numFmt numFmtId="165" formatCode="0.0%"/>
    </dxf>
    <dxf>
      <numFmt numFmtId="2" formatCode="0.00"/>
    </dxf>
    <dxf>
      <numFmt numFmtId="164" formatCode="&quot;R$&quot;\ #,##0.0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67" formatCode="0.0"/>
    </dxf>
    <dxf>
      <numFmt numFmtId="167" formatCode="0.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" refreshedDate="44493.092781828702" createdVersion="6" refreshedVersion="6" minRefreshableVersion="3" recordCount="147" xr:uid="{6E063D0E-A43D-4541-9EEC-07F68BA7E92B}">
  <cacheSource type="worksheet">
    <worksheetSource ref="A1:CZ1048576" sheet="Source"/>
  </cacheSource>
  <cacheFields count="104">
    <cacheField name="Date" numFmtId="0">
      <sharedItems containsNonDate="0" containsDate="1" containsString="0" containsBlank="1" minDate="2021-10-22T00:00:00" maxDate="2021-10-23T00:00:00"/>
    </cacheField>
    <cacheField name="High" numFmtId="0">
      <sharedItems containsString="0" containsBlank="1" containsNumber="1" minValue="0.69999998807907104" maxValue="107749"/>
    </cacheField>
    <cacheField name="Low" numFmtId="0">
      <sharedItems containsString="0" containsBlank="1" containsNumber="1" minValue="0.67000001668930054" maxValue="102854"/>
    </cacheField>
    <cacheField name="Open" numFmtId="0">
      <sharedItems containsString="0" containsBlank="1" containsNumber="1" minValue="0.68999999761581421" maxValue="107714"/>
    </cacheField>
    <cacheField name="Close" numFmtId="0">
      <sharedItems containsString="0" containsBlank="1" containsNumber="1" minValue="0.68000000715255737" maxValue="106296"/>
    </cacheField>
    <cacheField name="Volume" numFmtId="0">
      <sharedItems containsString="0" containsBlank="1" containsNumber="1" containsInteger="1" minValue="54900" maxValue="292338000"/>
    </cacheField>
    <cacheField name="Adj Close" numFmtId="0">
      <sharedItems containsString="0" containsBlank="1" containsNumber="1" minValue="0.68000000715255737" maxValue="106296"/>
    </cacheField>
    <cacheField name="LastPrice" numFmtId="0">
      <sharedItems containsString="0" containsBlank="1" containsNumber="1" minValue="0.69999998807907104" maxValue="107735"/>
    </cacheField>
    <cacheField name="PctReturn" numFmtId="0">
      <sharedItems containsString="0" containsBlank="1" containsNumber="1" minValue="-0.10735903453864681" maxValue="7.555558946397567E-2"/>
    </cacheField>
    <cacheField name="LogReturn" numFmtId="0">
      <sharedItems containsString="0" containsBlank="1" containsNumber="1" minValue="-0.11357083330574798" maxValue="7.2837355478689428E-2"/>
    </cacheField>
    <cacheField name="Body" numFmtId="0">
      <sharedItems containsString="0" containsBlank="1" containsNumber="1" minValue="0" maxValue="1418"/>
    </cacheField>
    <cacheField name="Shadow_Lower" numFmtId="0">
      <sharedItems containsString="0" containsBlank="1" containsNumber="1" minValue="0" maxValue="3442"/>
    </cacheField>
    <cacheField name="Shadow_Upper" numFmtId="0">
      <sharedItems containsString="0" containsBlank="1" containsNumber="1" minValue="0" maxValue="35"/>
    </cacheField>
    <cacheField name="Body_Relative" numFmtId="0">
      <sharedItems containsString="0" containsBlank="1" containsNumber="1" minValue="0" maxValue="0.10786125612708954"/>
    </cacheField>
    <cacheField name="Shadow_Lower_Relative" numFmtId="0">
      <sharedItems containsString="0" containsBlank="1" containsNumber="1" minValue="0" maxValue="57.998664886515357"/>
    </cacheField>
    <cacheField name="Shadow_Upper_Relative" numFmtId="0">
      <sharedItems containsString="0" containsBlank="1" containsNumber="1" minValue="0" maxValue="35.999237078008775"/>
    </cacheField>
    <cacheField name="Volatility_Anual" numFmtId="0">
      <sharedItems containsString="0" containsBlank="1" containsNumber="1" minValue="0.21096219559612445" maxValue="1.0642093919417714"/>
    </cacheField>
    <cacheField name="Volatility_Month" numFmtId="0">
      <sharedItems containsString="0" containsBlank="1" containsNumber="1" minValue="0.13231031525101555" maxValue="1.2134711510734"/>
    </cacheField>
    <cacheField name="Last_Returns_10" numFmtId="0">
      <sharedItems containsString="0" containsBlank="1" containsNumber="1" minValue="-0.19715184230781277" maxValue="0.14177086919604526"/>
    </cacheField>
    <cacheField name="Trend5" numFmtId="0">
      <sharedItems containsString="0" containsBlank="1" containsNumber="1" minValue="-88.087912233601003" maxValue="85.92587905324298"/>
    </cacheField>
    <cacheField name="Trend9" numFmtId="0">
      <sharedItems containsString="0" containsBlank="1" containsNumber="1" minValue="-87.301587383409199" maxValue="83.855535787697022"/>
    </cacheField>
    <cacheField name="Trend14" numFmtId="0">
      <sharedItems containsString="0" containsBlank="1" containsNumber="1" minValue="-84.596394276313248" maxValue="84.239801069979976"/>
    </cacheField>
    <cacheField name="Trend20" numFmtId="0">
      <sharedItems containsString="0" containsBlank="1" containsNumber="1" minValue="-84.93943340133508" maxValue="84.161631150160716"/>
    </cacheField>
    <cacheField name="Momentum_10" numFmtId="0">
      <sharedItems containsString="0" containsBlank="1" containsNumber="1" minValue="-6537" maxValue="3.4899978637695313"/>
    </cacheField>
    <cacheField name="Momentum_10_SMA_9" numFmtId="0">
      <sharedItems containsString="0" containsBlank="1" containsNumber="1" minValue="-4.0722215440538196" maxValue="383.11111111111109"/>
    </cacheField>
    <cacheField name="OBVsign" numFmtId="0">
      <sharedItems containsString="0" containsBlank="1" containsNumber="1" containsInteger="1" minValue="-292338000" maxValue="87038300"/>
    </cacheField>
    <cacheField name="OBV" numFmtId="0">
      <sharedItems containsString="0" containsBlank="1" containsNumber="1" containsInteger="1" minValue="-2318788700" maxValue="5456047100"/>
    </cacheField>
    <cacheField name="OBV_Trend5" numFmtId="0">
      <sharedItems containsString="0" containsBlank="1" containsNumber="1" minValue="-88.642004769014349" maxValue="89.027154887945741"/>
    </cacheField>
    <cacheField name="OBV_Trend14" numFmtId="0">
      <sharedItems containsString="0" containsBlank="1" containsNumber="1" minValue="-86.902286152385784" maxValue="88.016677476553923"/>
    </cacheField>
    <cacheField name="ADX14" numFmtId="0">
      <sharedItems containsString="0" containsBlank="1" containsNumber="1" minValue="12.190949398048941" maxValue="51.209912797073407"/>
    </cacheField>
    <cacheField name="ADX14_Trend5" numFmtId="0">
      <sharedItems containsString="0" containsBlank="1" containsNumber="1" minValue="-87.351447009176596" maxValue="87.926497781177829"/>
    </cacheField>
    <cacheField name="ADX14_Trend14" numFmtId="0">
      <sharedItems containsString="0" containsBlank="1" containsNumber="1" minValue="-86.670828679021213" maxValue="87.834595456230275"/>
    </cacheField>
    <cacheField name="ATR14" numFmtId="0">
      <sharedItems containsString="0" containsBlank="1" containsNumber="1" minValue="2.6428558996745517E-2" maxValue="2647.9285714285716"/>
    </cacheField>
    <cacheField name="ATR14_Trend5" numFmtId="0">
      <sharedItems containsString="0" containsBlank="1" containsNumber="1" minValue="-84.816483525594052" maxValue="86.306493036394983"/>
    </cacheField>
    <cacheField name="ATR14_Trend14" numFmtId="0">
      <sharedItems containsString="0" containsBlank="1" containsNumber="1" minValue="-84.501117241931723" maxValue="83.147780460812058"/>
    </cacheField>
    <cacheField name="SMA3" numFmtId="0">
      <sharedItems containsString="0" containsBlank="1" containsNumber="1" minValue="0.70000000794728601" maxValue="108272.33333333333"/>
    </cacheField>
    <cacheField name="SMA8" numFmtId="0">
      <sharedItems containsString="0" containsBlank="1" containsNumber="1" minValue="0.72375001013278961" maxValue="111400.875"/>
    </cacheField>
    <cacheField name="SMA20" numFmtId="0">
      <sharedItems containsString="0" containsBlank="1" containsNumber="1" minValue="0.74650000333786015" maxValue="111509.6"/>
    </cacheField>
    <cacheField name="SMA20_STD" numFmtId="0">
      <sharedItems containsString="0" containsBlank="1" containsNumber="1" minValue="2.8704477903296027E-2" maxValue="2123.3729721700843"/>
    </cacheField>
    <cacheField name="SMA200" numFmtId="0">
      <sharedItems containsString="0" containsBlank="1" containsNumber="1" minValue="0.90445000112056728" maxValue="119558.86500000001"/>
    </cacheField>
    <cacheField name="Bollinger_Sup" numFmtId="0">
      <sharedItems containsString="0" containsBlank="1" containsNumber="1" minValue="0.80390895914445215" maxValue="115756.34594434018"/>
    </cacheField>
    <cacheField name="Bollinger_Inf" numFmtId="0">
      <sharedItems containsString="0" containsBlank="1" containsNumber="1" minValue="0.68909104753126815" maxValue="107262.85405565983"/>
    </cacheField>
    <cacheField name="Bollinger_Sup%" numFmtId="0">
      <sharedItems containsString="0" containsBlank="1" containsNumber="1" minValue="-0.46146330462544244" maxValue="-6.902329594283307E-3"/>
    </cacheField>
    <cacheField name="Bollinger_Inf%" numFmtId="0">
      <sharedItems containsString="0" containsBlank="1" containsNumber="1" minValue="-5.4523549119025759E-2" maxValue="0.27218081298941199"/>
    </cacheField>
    <cacheField name="Bollinger_Spread" numFmtId="0">
      <sharedItems containsString="0" containsBlank="1" containsNumber="1" minValue="4.8506363560521154E-2" maxValue="0.4327922382050865"/>
    </cacheField>
    <cacheField name="Bollinger_Spread_Trend5" numFmtId="0">
      <sharedItems containsString="0" containsBlank="1" containsNumber="1" minValue="-87.327522258585674" maxValue="87.683183088924963"/>
    </cacheField>
    <cacheField name="Bollinger_Spread_Trend14" numFmtId="0">
      <sharedItems containsString="0" containsBlank="1" containsNumber="1" minValue="-87.984772526578283" maxValue="86.854409221255466"/>
    </cacheField>
    <cacheField name="IFR_2" numFmtId="0">
      <sharedItems containsString="0" containsBlank="1" containsNumber="1" minValue="1.274050078712861" maxValue="85.572601921579917"/>
    </cacheField>
    <cacheField name="IFR" numFmtId="0">
      <sharedItems containsString="0" containsBlank="1" containsNumber="1" minValue="15.615532918861106" maxValue="69.549821511222717"/>
    </cacheField>
    <cacheField name="IFR_Trend5" numFmtId="0">
      <sharedItems containsString="0" containsBlank="1" containsNumber="1" minValue="-89.195995409079529" maxValue="88.111166478879326"/>
    </cacheField>
    <cacheField name="IFR_Trend14" numFmtId="0">
      <sharedItems containsString="0" containsBlank="1" containsNumber="1" minValue="-87.895039265965551" maxValue="86.798705627709239"/>
    </cacheField>
    <cacheField name="EMA9" numFmtId="0">
      <sharedItems containsString="0" containsBlank="1" containsNumber="1" minValue="0.71981746669808122" maxValue="110324.46868703049"/>
    </cacheField>
    <cacheField name="EMA9%" numFmtId="0">
      <sharedItems containsString="0" containsBlank="1" containsNumber="1" minValue="-0.14632879918309927" maxValue="4.7836579347373974E-2"/>
    </cacheField>
    <cacheField name="EMA9_Trend9" numFmtId="0">
      <sharedItems containsString="0" containsBlank="1" containsNumber="1" minValue="-85.244723553980961" maxValue="85.602514178149491"/>
    </cacheField>
    <cacheField name="EMA12" numFmtId="0">
      <sharedItems containsString="0" containsBlank="1" containsNumber="1" minValue="0.72666476250518541" maxValue="110765.02808820952"/>
    </cacheField>
    <cacheField name="EMA21" numFmtId="0">
      <sharedItems containsString="0" containsBlank="1" containsNumber="1" minValue="0.74340877134269312" maxValue="111691.36813160792"/>
    </cacheField>
    <cacheField name="EMA21%" numFmtId="0">
      <sharedItems containsString="0" containsBlank="1" containsNumber="1" minValue="-0.2280233599705353" maxValue="9.7150888538760694E-2"/>
    </cacheField>
    <cacheField name="EMA26" numFmtId="0">
      <sharedItems containsString="0" containsBlank="1" containsNumber="1" minValue="0.75173929177264631" maxValue="112194.034219787"/>
    </cacheField>
    <cacheField name="EMA50" numFmtId="0">
      <sharedItems containsString="0" containsBlank="1" containsNumber="1" minValue="0.78548746393096069" maxValue="114540.61326227299"/>
    </cacheField>
    <cacheField name="EMA50%" numFmtId="0">
      <sharedItems containsString="0" containsBlank="1" containsNumber="1" minValue="-0.39706437771636782" maxValue="0.13975483267199068"/>
    </cacheField>
    <cacheField name="EMA50_Trend14" numFmtId="0">
      <sharedItems containsString="0" containsBlank="1" containsNumber="1" minValue="-83.649793394377383" maxValue="84.871795271607212"/>
    </cacheField>
    <cacheField name="EMA200" numFmtId="0">
      <sharedItems containsString="0" containsBlank="1" containsNumber="1" minValue="0.94132976467151253" maxValue="116680.44043360719"/>
    </cacheField>
    <cacheField name="EMA200%" numFmtId="0">
      <sharedItems containsString="0" containsBlank="1" containsNumber="1" minValue="-1.6374634695843868" maxValue="0.30050003480951093"/>
    </cacheField>
    <cacheField name="MACD" numFmtId="0">
      <sharedItems containsString="0" containsBlank="1" containsNumber="1" minValue="-1429.0061315774801" maxValue="1.5612934675593095"/>
    </cacheField>
    <cacheField name="MACD_Signal" numFmtId="0">
      <sharedItems containsString="0" containsBlank="1" containsNumber="1" minValue="-1133.9766065932304" maxValue="1.8076151178004387"/>
    </cacheField>
    <cacheField name="MACD_Hist" numFmtId="0">
      <sharedItems containsString="0" containsBlank="1" containsNumber="1" minValue="-295.02952498424975" maxValue="0.72981151964715218"/>
    </cacheField>
    <cacheField name="MACD_Hist_Trend5" numFmtId="0">
      <sharedItems containsString="0" containsBlank="1" containsNumber="1" minValue="-88.685494130504907" maxValue="87.625062852251403"/>
    </cacheField>
    <cacheField name="MACD_Hist_Trend14" numFmtId="0">
      <sharedItems containsString="0" containsBlank="1" containsNumber="1" minValue="-87.722486207344431" maxValue="87.349690306333514"/>
    </cacheField>
    <cacheField name="SMA9_VOLUME" numFmtId="0">
      <sharedItems containsString="0" containsBlank="1" containsNumber="1" minValue="39122.222222222219" maxValue="122171877.77777778"/>
    </cacheField>
    <cacheField name="SMA20_VOLUME" numFmtId="0">
      <sharedItems containsString="0" containsBlank="1" containsNumber="1" minValue="60060" maxValue="91094375"/>
    </cacheField>
    <cacheField name="SMA200_VOLUME" numFmtId="0">
      <sharedItems containsString="0" containsBlank="1" containsNumber="1" minValue="98340.524999999994" maxValue="103171803"/>
    </cacheField>
    <cacheField name="SMA9_VOLUME%" numFmtId="0">
      <sharedItems containsString="0" containsBlank="1" containsNumber="1" minValue="-0.26862864228146321" maxValue="2.9173536145389591"/>
    </cacheField>
    <cacheField name="SMA20_VOLUME%" numFmtId="0">
      <sharedItems containsString="0" containsBlank="1" containsNumber="1" minValue="-0.41135073779795683" maxValue="4.0940957440500894"/>
    </cacheField>
    <cacheField name="STOCHASTIC_K_FAST" numFmtId="0">
      <sharedItems containsString="0" containsBlank="1" containsNumber="1" minValue="4.5833197567176436" maxValue="88.537583079020067"/>
    </cacheField>
    <cacheField name="STOCHASTIC_D_FAST" numFmtId="0">
      <sharedItems containsString="0" containsBlank="1" containsNumber="1" minValue="6.3286783330391261" maxValue="87.99408892781598"/>
    </cacheField>
    <cacheField name="STOCHASTIC_K_SLOW" numFmtId="0">
      <sharedItems containsString="0" containsBlank="1" containsNumber="1" minValue="6.3286783330391261" maxValue="87.99408892781598"/>
    </cacheField>
    <cacheField name="STOCHASTIC_D_SLOW" numFmtId="0">
      <sharedItems containsString="0" containsBlank="1" containsNumber="1" minValue="3.8028393134145824" maxValue="88.157377696542213"/>
    </cacheField>
    <cacheField name="STO_Trend5" numFmtId="0">
      <sharedItems containsString="0" containsBlank="1" containsNumber="1" minValue="-89.260398118104419" maxValue="87.698024654897409"/>
    </cacheField>
    <cacheField name="STO_Trend14" numFmtId="0">
      <sharedItems containsString="0" containsBlank="1" containsNumber="1" minValue="-88.266049303086632" maxValue="88.347199771445005"/>
    </cacheField>
    <cacheField name="#Romp_EMA9_Bear" numFmtId="0">
      <sharedItems containsString="0" containsBlank="1" containsNumber="1" containsInteger="1" minValue="0" maxValue="1"/>
    </cacheField>
    <cacheField name="#Romp_EMA9_Bull" numFmtId="0">
      <sharedItems containsString="0" containsBlank="1" containsNumber="1" containsInteger="1" minValue="0" maxValue="1"/>
    </cacheField>
    <cacheField name="#Romp_EMA9" numFmtId="0">
      <sharedItems containsString="0" containsBlank="1" containsNumber="1" containsInteger="1" minValue="0" maxValue="1"/>
    </cacheField>
    <cacheField name="#Romp_EMA50_Bear" numFmtId="0">
      <sharedItems containsString="0" containsBlank="1" containsNumber="1" containsInteger="1" minValue="0" maxValue="1"/>
    </cacheField>
    <cacheField name="#Romp_EMA50_Bull" numFmtId="0">
      <sharedItems containsString="0" containsBlank="1" containsNumber="1" containsInteger="1" minValue="0" maxValue="1"/>
    </cacheField>
    <cacheField name="#Romp_EMA50" numFmtId="0">
      <sharedItems containsString="0" containsBlank="1" containsNumber="1" containsInteger="1" minValue="0" maxValue="1"/>
    </cacheField>
    <cacheField name="#MACDH_Change_Bear" numFmtId="0">
      <sharedItems containsString="0" containsBlank="1" containsNumber="1" containsInteger="1" minValue="-1" maxValue="0"/>
    </cacheField>
    <cacheField name="#MACDH_Change_Bull" numFmtId="0">
      <sharedItems containsString="0" containsBlank="1" containsNumber="1" containsInteger="1" minValue="0" maxValue="0"/>
    </cacheField>
    <cacheField name="#MACDH_Change" numFmtId="0">
      <sharedItems containsString="0" containsBlank="1" containsNumber="1" containsInteger="1" minValue="-1" maxValue="0"/>
    </cacheField>
    <cacheField name="#EMA9_Change_Bear" numFmtId="0">
      <sharedItems containsString="0" containsBlank="1" containsNumber="1" containsInteger="1" minValue="-1" maxValue="0"/>
    </cacheField>
    <cacheField name="#EMA9_Change_Bull" numFmtId="0">
      <sharedItems containsString="0" containsBlank="1" containsNumber="1" containsInteger="1" minValue="0" maxValue="1"/>
    </cacheField>
    <cacheField name="#EMA9_Change" numFmtId="0">
      <sharedItems containsString="0" containsBlank="1" containsNumber="1" containsInteger="1" minValue="-1" maxValue="1"/>
    </cacheField>
    <cacheField name="#Trend_Divergence_Bear" numFmtId="0">
      <sharedItems containsString="0" containsBlank="1" containsNumber="1" containsInteger="1" minValue="0" maxValue="0"/>
    </cacheField>
    <cacheField name="#Trend_Divergence_Bull" numFmtId="0">
      <sharedItems containsString="0" containsBlank="1" containsNumber="1" containsInteger="1" minValue="0" maxValue="0"/>
    </cacheField>
    <cacheField name="#Trend_Divergence" numFmtId="0">
      <sharedItems containsString="0" containsBlank="1" containsNumber="1" containsInteger="1" minValue="0" maxValue="0"/>
    </cacheField>
    <cacheField name="#IFR2_Bear" numFmtId="0">
      <sharedItems containsString="0" containsBlank="1" containsNumber="1" containsInteger="1" minValue="0" maxValue="0"/>
    </cacheField>
    <cacheField name="#IFR2_Bull" numFmtId="0">
      <sharedItems containsString="0" containsBlank="1" containsNumber="1" containsInteger="1" minValue="0" maxValue="1"/>
    </cacheField>
    <cacheField name="#IFR2" numFmtId="0">
      <sharedItems containsString="0" containsBlank="1" containsNumber="1" containsInteger="1" minValue="0" maxValue="1"/>
    </cacheField>
    <cacheField name="#AGULHADA" numFmtId="0">
      <sharedItems containsString="0" containsBlank="1" containsNumber="1" containsInteger="1" minValue="0" maxValue="0"/>
    </cacheField>
    <cacheField name="#INSIDEBAR_Bull" numFmtId="0">
      <sharedItems containsString="0" containsBlank="1" containsNumber="1" containsInteger="1" minValue="0" maxValue="0"/>
    </cacheField>
    <cacheField name="#INSIDEBAR_Bear" numFmtId="0">
      <sharedItems containsString="0" containsBlank="1" containsNumber="1" containsInteger="1" minValue="0" maxValue="0"/>
    </cacheField>
    <cacheField name="#INSIDEBAR" numFmtId="0">
      <sharedItems containsString="0" containsBlank="1" containsNumber="1" containsInteger="1" minValue="0" maxValue="0"/>
    </cacheField>
    <cacheField name="Stock" numFmtId="0">
      <sharedItems containsBlank="1" count="160">
        <s v="^B"/>
        <s v="VALE3"/>
        <s v="VIIA3"/>
        <s v="PETR4"/>
        <s v="BBDC4"/>
        <s v="ITUB4"/>
        <s v="MGLU3"/>
        <s v="COGN3"/>
        <s v="B3SA3"/>
        <s v="BBAS3"/>
        <s v="IRBR3"/>
        <s v="ABEV3"/>
        <s v="OIBR3"/>
        <s v="LAME4"/>
        <s v="AZUL4"/>
        <s v="CIEL3"/>
        <s v="PETR3"/>
        <s v="JBSS3"/>
        <s v="BPAC11"/>
        <s v="RENT3"/>
        <s v="ITSA4"/>
        <s v="WEGE3"/>
        <s v="LREN3"/>
        <s v="SUZB3"/>
        <s v="GGBR4"/>
        <s v="GOLL4"/>
        <s v="GNDI3"/>
        <s v="SBSP3"/>
        <s v="BRFS3"/>
        <s v="CYRE3"/>
        <s v="RAIL3"/>
        <s v="BRDT3"/>
        <s v="EQTL3"/>
        <s v="RADL3"/>
        <s v="MRFG3"/>
        <s v="USIM5"/>
        <s v="SULA11"/>
        <s v="BRML3"/>
        <s v="CSNA3"/>
        <s v="HYPE3"/>
        <s v="KLBN11"/>
        <s v="PRIO3"/>
        <s v="PCAR3"/>
        <s v="CSAN3"/>
        <s v="CVCB3"/>
        <s v="CRFB3"/>
        <s v="MULT3"/>
        <s v="BBSE3"/>
        <s v="UGPA3"/>
        <s v="HAPV3"/>
        <s v="TOTS3"/>
        <s v="QUAL3"/>
        <s v="GOAU4"/>
        <s v="JHSF3"/>
        <s v="CCRO3"/>
        <s v="EZTC3"/>
        <s v="CMIG4"/>
        <s v="EMBR3"/>
        <s v="SANB11"/>
        <s v="YDUQ3"/>
        <s v="ELET6"/>
        <s v="BEEF3"/>
        <s v="BRAP4"/>
        <s v="MRVE3"/>
        <s v="CPFE3"/>
        <s v="EGIE3"/>
        <s v="IGTA3"/>
        <s v="ENEV3"/>
        <s v="BRKM5"/>
        <s v="ECOR3"/>
        <s v="TAEE11"/>
        <s v="SAPR11"/>
        <s v="CESP6"/>
        <s v="MEAL3"/>
        <s v="FLRY3"/>
        <s v="LCAM3"/>
        <s v="ALPA4"/>
        <s v="GFSA3"/>
        <s v="AMAR3"/>
        <s v="MOVI3"/>
        <s v="LIGT3"/>
        <s v="ALSO3"/>
        <s v="PSSA3"/>
        <s v="ENBR3"/>
        <s v="EVEN3"/>
        <s v="TEND3"/>
        <s v="MDIA3"/>
        <s v="VIVA3"/>
        <s v="BIDI11"/>
        <s v="RAPT4"/>
        <s v="TRPL4"/>
        <s v="POMO4"/>
        <s v="BRSR6"/>
        <s v="SMTO3"/>
        <s v="ARZZ3"/>
        <s v="MYPK3"/>
        <s v="BRPR3"/>
        <s v="SLCE3"/>
        <s v="TCSA3"/>
        <s v="TRIS3"/>
        <s v="DIRR3"/>
        <s v="GUAR3"/>
        <s v="POSI3"/>
        <s v="CMIG3"/>
        <s v="SQIA3"/>
        <s v="CPLE6"/>
        <s v="ENGI11"/>
        <s v="NTCO3"/>
        <s v="ALUP11"/>
        <s v="VIVT3"/>
        <s v="ANIM3"/>
        <s v="BKBR3"/>
        <s v="BMGB4"/>
        <s v="CAML3"/>
        <s v="CEAB3"/>
        <s v="CSMG3"/>
        <s v="DMMO3"/>
        <s v="ENAT3"/>
        <s v="GRND3"/>
        <s v="HBOR3"/>
        <s v="LEVE3"/>
        <s v="JPSA3"/>
        <s v="LJQQ3"/>
        <s v="LOGG3"/>
        <s v="LOGN3"/>
        <s v="LPSB3"/>
        <s v="LWSA3"/>
        <s v="MILS3"/>
        <s v="MTRE3"/>
        <s v="ODPV3"/>
        <s v="OMGE3"/>
        <s v="PARD3"/>
        <s v="PTBL3"/>
        <s v="RCSL4"/>
        <s v="ROMI3"/>
        <s v="UNIP6"/>
        <s v="WIZS3"/>
        <s v="SIMH3"/>
        <s v="SEER3"/>
        <s v="TASA4"/>
        <s v="TGMA3"/>
        <s v="DMVF3"/>
        <s v="AALR3"/>
        <s v="PRNR3"/>
        <s v="APER3"/>
        <s v="FRAS3"/>
        <m/>
        <s v="BRSR3" u="1"/>
        <s v="VVAR3" u="1"/>
        <s v="HGTX3" u="1"/>
        <s v="SMLS3" u="1"/>
        <s v="BTOW3" u="1"/>
        <s v="TAEE4" u="1"/>
        <s v="CCPR3" u="1"/>
        <s v="SANB4" u="1"/>
        <s v="BIDI4" u="1"/>
        <s v="CNTO3" u="1"/>
        <s v="BPAN4" u="1"/>
        <s v="LINX3" u="1"/>
        <s v="DTEX3" u="1"/>
      </sharedItems>
    </cacheField>
    <cacheField name="PATTERN" numFmtId="0">
      <sharedItems containsBlank="1"/>
    </cacheField>
    <cacheField name="PATTERN SIGNAL" numFmtId="1">
      <sharedItems containsBlank="1" containsMixedTypes="1" containsNumber="1" containsInteger="1" minValue="-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7">
  <r>
    <d v="2021-10-22T00:00:00"/>
    <n v="107749"/>
    <n v="102854"/>
    <n v="107714"/>
    <n v="106296"/>
    <n v="21165700"/>
    <n v="106296"/>
    <n v="107735"/>
    <n v="-1.3356847821042406E-2"/>
    <n v="-1.3446852867189786E-2"/>
    <n v="1418"/>
    <n v="3442"/>
    <n v="35"/>
    <n v="1.3251717209476193E-2"/>
    <n v="2.4273624823695346"/>
    <n v="2.4682651622002821E-2"/>
    <n v="0.21325698436848814"/>
    <n v="0.24623303221088846"/>
    <n v="-3.9556800731678207E-2"/>
    <n v="-85.512956953667413"/>
    <n v="-79.643304243750748"/>
    <n v="-43.672278188009322"/>
    <n v="-33.483666208250689"/>
    <n v="-6537"/>
    <n v="383.11111111111109"/>
    <n v="-21165700"/>
    <n v="166115500"/>
    <n v="-84.767989862304361"/>
    <n v="24.933926415050774"/>
    <n v="35.793318005601428"/>
    <n v="75.683468341509453"/>
    <n v="-85.296791923984117"/>
    <n v="2647.9285714285716"/>
    <n v="82.072392690273546"/>
    <n v="13.98312580147754"/>
    <n v="108272.33333333333"/>
    <n v="111400.875"/>
    <n v="111509.6"/>
    <n v="2123.3729721700843"/>
    <n v="119558.86500000001"/>
    <n v="115756.34594434018"/>
    <n v="107262.85405565983"/>
    <n v="-8.9000018291753039E-2"/>
    <n v="-9.0958649023465694E-3"/>
    <n v="7.6168257160642211E-2"/>
    <n v="67.946317005189684"/>
    <n v="-44.63878716577495"/>
    <n v="7.6247790147202323"/>
    <n v="29.357822185589427"/>
    <n v="-88.650011840578543"/>
    <n v="-66.344996158268813"/>
    <n v="110324.46868703049"/>
    <n v="-3.7898591546535021E-2"/>
    <n v="-44.785405422492211"/>
    <n v="110765.02808820952"/>
    <n v="111691.36813160792"/>
    <n v="-5.0757960145329233E-2"/>
    <n v="112194.034219787"/>
    <n v="114540.61326227299"/>
    <n v="-7.7562779994289469E-2"/>
    <n v="-56.49669577156223"/>
    <n v="116680.44043360719"/>
    <n v="-9.7693614375020596E-2"/>
    <n v="-1429.0061315774801"/>
    <n v="-1133.9766065932304"/>
    <n v="-295.02952498424975"/>
    <n v="-86.969085409835131"/>
    <n v="-2.315182956294124"/>
    <n v="12987466.666666666"/>
    <n v="12212050"/>
    <n v="9422360.5"/>
    <n v="0.62970196907788023"/>
    <n v="0.73318157066176437"/>
    <n v="28.509898119771389"/>
    <n v="29.690288743337234"/>
    <n v="29.690288743337234"/>
    <n v="39.41778216316191"/>
    <n v="-89.032052677238354"/>
    <n v="84.920156763946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s v="CDL3WHITESOLDIERS_Bull"/>
    <n v="1"/>
  </r>
  <r>
    <d v="2021-10-22T00:00:00"/>
    <n v="77.099998474121094"/>
    <n v="74.639999389648438"/>
    <n v="74.669998168945313"/>
    <n v="76.080001831054688"/>
    <n v="35142600"/>
    <n v="76.080001831054688"/>
    <n v="75.160003662109375"/>
    <n v="1.2240528527396988E-2"/>
    <n v="1.2166219035181742E-2"/>
    <n v="1.410003662109375"/>
    <n v="2.9998779296875E-2"/>
    <n v="1.0199966430664063"/>
    <n v="1.8706516246890546E-2"/>
    <n v="2.1275674739735514E-2"/>
    <n v="0.72339999567127677"/>
    <n v="0.33279470872183547"/>
    <n v="0.3257893236669625"/>
    <n v="-4.2209028362914083E-2"/>
    <n v="-81.319968587453445"/>
    <n v="-75.573739172594429"/>
    <n v="1.0596608610600551"/>
    <n v="26.890712830717153"/>
    <n v="-3.7699966430664063"/>
    <n v="1.970001220703125"/>
    <n v="35142600"/>
    <n v="580699000"/>
    <n v="-80.198985141252336"/>
    <n v="57.145739473184648"/>
    <n v="30.84021158567861"/>
    <n v="-73.789427439423974"/>
    <n v="-85.529451043987393"/>
    <n v="2.3528573172433034"/>
    <n v="20.38069148751141"/>
    <n v="-82.214984650919817"/>
    <n v="75.970001220703125"/>
    <n v="78.238749504089355"/>
    <n v="77.690999603271479"/>
    <n v="2.0908195318513032"/>
    <n v="90.383345489501949"/>
    <n v="81.872638666974083"/>
    <n v="73.509360539568874"/>
    <n v="-7.6138757840499033E-2"/>
    <n v="3.378865969528036E-2"/>
    <n v="0.10764796656127773"/>
    <n v="17.257422306613051"/>
    <n v="-84.315642295829321"/>
    <n v="32.562128886571898"/>
    <n v="39.585951006361022"/>
    <n v="-87.096680720137726"/>
    <n v="54.082519114542499"/>
    <n v="77.62548413370304"/>
    <n v="-2.0313909903423664E-2"/>
    <n v="-28.811793220132067"/>
    <n v="77.872400531197769"/>
    <n v="78.788179899947991"/>
    <n v="-3.559645115292133E-2"/>
    <n v="79.509371567889289"/>
    <n v="83.31531098332465"/>
    <n v="-9.5101327262542473E-2"/>
    <n v="-58.644767597111901"/>
    <n v="84.92172163532986"/>
    <n v="-0.11621608295842756"/>
    <n v="-1.63697103669152"/>
    <n v="-1.865062573185323"/>
    <n v="0.22809153649380298"/>
    <n v="-88.330892758959422"/>
    <n v="69.479918306242922"/>
    <n v="28147877.777777776"/>
    <n v="30043905"/>
    <n v="27587736.5"/>
    <n v="0.24849909742554122"/>
    <n v="0.16970813214860048"/>
    <n v="30.837481894284419"/>
    <n v="27.522456600554175"/>
    <n v="27.522456600554175"/>
    <n v="37.809841795163017"/>
    <n v="-83.151149848003186"/>
    <n v="80.7337224195495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s v="CDLHARAMI_Bull"/>
    <n v="1"/>
  </r>
  <r>
    <d v="2021-10-22T00:00:00"/>
    <n v="7.1500000953674316"/>
    <n v="6.3000001907348633"/>
    <n v="6.8600001335144043"/>
    <n v="6.9699997901916504"/>
    <n v="87038300"/>
    <n v="6.9699997901916504"/>
    <n v="6.9200000762939453"/>
    <n v="7.2253921020883904E-3"/>
    <n v="7.1994140160890055E-3"/>
    <n v="0.10999965667724609"/>
    <n v="0.55999994277954102"/>
    <n v="0.18000030517578125"/>
    <n v="1.5907398016495326E-2"/>
    <n v="5.0909244600886057"/>
    <n v="1.6363715179941565"/>
    <n v="0.48990300403671327"/>
    <n v="0.61267125406446599"/>
    <n v="-0.11122566031493747"/>
    <n v="-83.338279766659184"/>
    <n v="-75.481352049782814"/>
    <n v="-53.810118652525929"/>
    <n v="-43.355272635654153"/>
    <n v="-1.0900006294250488"/>
    <n v="-0.18222215440538195"/>
    <n v="87038300"/>
    <n v="1499131300"/>
    <n v="-71.770137261231056"/>
    <n v="20.896824419897865"/>
    <n v="37.635312698309257"/>
    <n v="76.774579615559688"/>
    <n v="-83.420085251008658"/>
    <n v="0.50857162475585938"/>
    <n v="72.052020018549811"/>
    <n v="-42.573548890608834"/>
    <n v="7.1366666158040362"/>
    <n v="7.7175000905990601"/>
    <n v="7.8770000457763674"/>
    <n v="0.39268447814908897"/>
    <n v="12.415900008678436"/>
    <n v="8.662369002074545"/>
    <n v="7.0916310894781898"/>
    <n v="-0.24280764172538954"/>
    <n v="-1.7450689088642706E-2"/>
    <n v="0.19940813805613494"/>
    <n v="73.492507500177595"/>
    <n v="-66.945620864347759"/>
    <n v="13.785642153643366"/>
    <n v="30.295612375327437"/>
    <n v="-87.953091670213723"/>
    <n v="-63.375619813284608"/>
    <n v="7.572447867480955"/>
    <n v="-8.6434446976179816E-2"/>
    <n v="-54.824801655740195"/>
    <n v="7.6842358960416144"/>
    <n v="7.9991803369387204"/>
    <n v="-0.14765861947303893"/>
    <n v="8.1959282426749525"/>
    <n v="9.186124430540028"/>
    <n v="-0.31795189484323383"/>
    <n v="-71.666647550019263"/>
    <n v="12.104657613608154"/>
    <n v="-0.73667976728523243"/>
    <n v="-0.51169234663333807"/>
    <n v="-0.50699346664129807"/>
    <n v="-4.6988799920399948E-3"/>
    <n v="-85.123163929885791"/>
    <n v="-20.396720477463901"/>
    <n v="44067211.111111112"/>
    <n v="39377230"/>
    <n v="41343120"/>
    <n v="0.97512612678259902"/>
    <n v="1.2103713237320148"/>
    <n v="32.367135180359654"/>
    <n v="15.726355449411663"/>
    <n v="15.726355449411663"/>
    <n v="24.48152353653666"/>
    <n v="-88.555372248621367"/>
    <n v="85.366681207044579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2"/>
    <e v="#N/A"/>
    <e v="#N/A"/>
  </r>
  <r>
    <d v="2021-10-22T00:00:00"/>
    <n v="27.760000228881836"/>
    <n v="25.770000457763672"/>
    <n v="27.100000381469727"/>
    <n v="27.180000305175781"/>
    <n v="138384700"/>
    <n v="27.180000305175781"/>
    <n v="27.450000762939453"/>
    <n v="-9.8360819766607488E-3"/>
    <n v="-9.8847757983749982E-3"/>
    <n v="7.9999923706054688E-2"/>
    <n v="1.3299999237060547"/>
    <n v="0.57999992370605469"/>
    <n v="2.9476758546076085E-3"/>
    <n v="16.625014901175405"/>
    <n v="7.2500059604701619"/>
    <n v="0.45341783178309414"/>
    <n v="0.34210663469611252"/>
    <n v="-5.0925311212957784E-2"/>
    <n v="-85.131975394447323"/>
    <n v="-82.20998102414066"/>
    <n v="-66.498900012990944"/>
    <n v="57.422553753448604"/>
    <n v="-1.9400005340576172"/>
    <n v="0.51888910929361975"/>
    <n v="-138384700"/>
    <n v="1479838000"/>
    <n v="-83.728875700497952"/>
    <n v="-42.759992973314375"/>
    <n v="20.963836364936899"/>
    <n v="-83.539272651626789"/>
    <n v="53.066172586935643"/>
    <n v="0.96571404593331478"/>
    <n v="83.326104017306776"/>
    <n v="-31.580662327396162"/>
    <n v="27.71000035603841"/>
    <n v="28.687500238418579"/>
    <n v="28.35050001144409"/>
    <n v="1.0082006610001801"/>
    <n v="25.150558423995971"/>
    <n v="30.366901333444449"/>
    <n v="26.334098689443731"/>
    <n v="-0.11725169214445516"/>
    <n v="3.1122207734889835E-2"/>
    <n v="0.14224802533898234"/>
    <n v="-81.53575595237929"/>
    <n v="-38.606049449778112"/>
    <n v="15.946593636827444"/>
    <n v="39.026690363916877"/>
    <n v="-88.531224420827741"/>
    <n v="-86.088382558152176"/>
    <n v="28.275111960027647"/>
    <n v="-4.0291083243414398E-2"/>
    <n v="-36.790901482147611"/>
    <n v="28.307164889021234"/>
    <n v="28.102584357512342"/>
    <n v="-3.394348940315782E-2"/>
    <n v="27.960069718828915"/>
    <n v="27.425108065989399"/>
    <n v="-9.0179454768785448E-3"/>
    <n v="71.518433699792041"/>
    <n v="25.369562793802874"/>
    <n v="6.6609179214326658E-2"/>
    <n v="0.34709517019231839"/>
    <n v="0.58082481983738088"/>
    <n v="-0.23372964964506249"/>
    <n v="-86.973827622477742"/>
    <n v="-82.987090761794946"/>
    <n v="84132855.555555552"/>
    <n v="81562810"/>
    <n v="79421149"/>
    <n v="0.64483541044937276"/>
    <n v="0.69666420271690011"/>
    <n v="31.68539797803848"/>
    <n v="31.047623047257634"/>
    <n v="31.047623047257634"/>
    <n v="38.666362397082032"/>
    <n v="-87.804406907977821"/>
    <n v="-82.029473950786283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3"/>
    <s v="NO_PATTERN"/>
    <n v="0"/>
  </r>
  <r>
    <d v="2021-10-22T00:00:00"/>
    <n v="21.180000305175781"/>
    <n v="19.709999084472656"/>
    <n v="21.180000305175781"/>
    <n v="20.450000762939453"/>
    <n v="77992500"/>
    <n v="20.450000762939453"/>
    <n v="21.25"/>
    <n v="-3.7647022920496376E-2"/>
    <n v="-3.8373975574063114E-2"/>
    <n v="0.72999954223632813"/>
    <n v="0.74000167846679688"/>
    <n v="0"/>
    <n v="3.5070839467041995E-2"/>
    <n v="1.0137015650719829"/>
    <n v="0"/>
    <n v="0.34419568457497229"/>
    <n v="0.41739061399500538"/>
    <n v="-1.2633711404111115E-2"/>
    <n v="-79.505951098445564"/>
    <n v="65.100812823719536"/>
    <n v="30.323555681217012"/>
    <n v="31.617492016913985"/>
    <n v="-0.39999961853027344"/>
    <n v="5.1569620768229164E-2"/>
    <n v="-77992500"/>
    <n v="418804420"/>
    <n v="-83.138451998148028"/>
    <n v="-53.593719891657564"/>
    <n v="18.61558770569167"/>
    <n v="46.444122467569983"/>
    <n v="-80.002951685042532"/>
    <n v="0.79364504132952007"/>
    <n v="76.011701539939281"/>
    <n v="2.7865130684320689E-2"/>
    <n v="21.133333841959637"/>
    <n v="20.992500066757202"/>
    <n v="20.872466087341309"/>
    <n v="0.43813719908885462"/>
    <n v="23.237235879898073"/>
    <n v="21.748740485519019"/>
    <n v="19.996191689163599"/>
    <n v="-6.3508052524536257E-2"/>
    <n v="2.2191151923977952E-2"/>
    <n v="8.3964625407550772E-2"/>
    <n v="-79.833128324077336"/>
    <n v="-63.690626409589605"/>
    <n v="28.775854130756741"/>
    <n v="44.120871356094099"/>
    <n v="-86.849637526239803"/>
    <n v="61.388492185946141"/>
    <n v="20.986117708236197"/>
    <n v="-2.6215986567018745E-2"/>
    <n v="55.005838872379293"/>
    <n v="20.965299073504731"/>
    <n v="20.987485151188032"/>
    <n v="-2.6282854190530697E-2"/>
    <n v="21.058771072174498"/>
    <n v="21.612130606272196"/>
    <n v="-5.6827863079536613E-2"/>
    <n v="-47.359985666416627"/>
    <n v="22.699716148963088"/>
    <n v="-0.11001052821967053"/>
    <n v="-9.3471998669766521E-2"/>
    <n v="-0.18317817627758562"/>
    <n v="8.9706177607819099E-2"/>
    <n v="-76.457218162813319"/>
    <n v="-57.210872459705911"/>
    <n v="50237122.222222224"/>
    <n v="53840195"/>
    <n v="44647022.149999999"/>
    <n v="0.55248741468515639"/>
    <n v="0.44859245030594708"/>
    <n v="34.418658292081403"/>
    <n v="65.822801418549361"/>
    <n v="65.822801418549361"/>
    <n v="73.32776078868973"/>
    <n v="87.698024654897409"/>
    <n v="-72.644962552435373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4"/>
    <s v="CDLCLOSINGMARUBOZU_Bull"/>
    <n v="1"/>
  </r>
  <r>
    <d v="2021-10-22T00:00:00"/>
    <n v="24.270000457763672"/>
    <n v="22.909999847412109"/>
    <n v="24.120000839233398"/>
    <n v="23.540000915527344"/>
    <n v="93446400"/>
    <n v="23.540000915527344"/>
    <n v="24.479999542236328"/>
    <n v="-3.8398637430003491E-2"/>
    <n v="-3.9155298220088321E-2"/>
    <n v="0.57999992370605469"/>
    <n v="0.63000106811523438"/>
    <n v="0.14999961853027344"/>
    <n v="2.4339064303459397E-2"/>
    <n v="1.0862088810110264"/>
    <n v="0.25862006596796311"/>
    <n v="0.37819776006743716"/>
    <n v="0.76796658721400368"/>
    <n v="-3.9155298220087995E-2"/>
    <n v="-82.064563524540119"/>
    <n v="-20.374011303161584"/>
    <n v="-39.270053336111474"/>
    <n v="-82.516384734808753"/>
    <n v="-1.1199989318847656"/>
    <n v="-2.1772549947102866"/>
    <n v="-93446400"/>
    <n v="19698800"/>
    <n v="-87.324184007399566"/>
    <n v="52.217542297334909"/>
    <n v="27.278589335067291"/>
    <n v="50.400104508432143"/>
    <n v="77.413248615907122"/>
    <n v="1.2114283697945731"/>
    <n v="72.790356665770133"/>
    <n v="-27.899097804460105"/>
    <n v="24.336666742960613"/>
    <n v="24.430000066757202"/>
    <n v="25.813277626037596"/>
    <n v="2.0918428711680228"/>
    <n v="28.625099220275878"/>
    <n v="29.996963368373642"/>
    <n v="21.629591883701551"/>
    <n v="-0.27429745971620534"/>
    <n v="8.1155860557577897E-2"/>
    <n v="0.32414990478512529"/>
    <n v="70.582860550015297"/>
    <n v="84.001740243214812"/>
    <n v="21.668303286611135"/>
    <n v="32.332435545479527"/>
    <n v="-80.192649527191676"/>
    <n v="77.374538878104232"/>
    <n v="24.571205950921776"/>
    <n v="-4.3806499375037562E-2"/>
    <n v="-73.281199934379586"/>
    <n v="24.832290603452861"/>
    <n v="25.625948837312837"/>
    <n v="-8.8612907419624187E-2"/>
    <n v="26.01072895822513"/>
    <n v="27.255276691606603"/>
    <n v="-0.15782819165604225"/>
    <n v="-78.436998514367687"/>
    <n v="28.324739201336772"/>
    <n v="-0.20325990228204885"/>
    <n v="-1.1784383547722683"/>
    <n v="-1.1596352063615063"/>
    <n v="-1.8803148410762027E-2"/>
    <n v="84.766248760406398"/>
    <n v="83.070996330112607"/>
    <n v="49688633.333333336"/>
    <n v="48979135"/>
    <n v="37990608"/>
    <n v="0.88063936822573097"/>
    <n v="0.90788179497249177"/>
    <n v="25.506123208578284"/>
    <n v="18.956326193814849"/>
    <n v="18.956326193814849"/>
    <n v="16.152738981047623"/>
    <n v="77.619338809479572"/>
    <n v="-84.674132461123989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5"/>
    <s v="CDLBELTHOLD_Bull"/>
    <n v="1"/>
  </r>
  <r>
    <d v="2021-10-22T00:00:00"/>
    <n v="12.949999809265137"/>
    <n v="11.859999656677246"/>
    <n v="12.350000381469727"/>
    <n v="12.420000076293945"/>
    <n v="69424400"/>
    <n v="12.420000076293945"/>
    <n v="12.409999847412109"/>
    <n v="8.0582022601083381E-4"/>
    <n v="8.054957272059421E-4"/>
    <n v="6.999969482421875E-2"/>
    <n v="0.49000072479248047"/>
    <n v="0.52999973297119141"/>
    <n v="5.6519736399341658E-3"/>
    <n v="7.0000408719346048"/>
    <n v="7.5714577656675752"/>
    <n v="0.41860598691764628"/>
    <n v="0.57164675520854613"/>
    <n v="-0.12188979243350491"/>
    <n v="-84.820489624796139"/>
    <n v="-80.700428592363821"/>
    <n v="-66.046193448668234"/>
    <n v="-61.967323172532176"/>
    <n v="-2.5500001907348633"/>
    <n v="-0.46000003814697266"/>
    <n v="69424400"/>
    <n v="381306600"/>
    <n v="-83.544345779535121"/>
    <n v="-67.088927472959867"/>
    <n v="46.767351059618122"/>
    <n v="78.328305946356352"/>
    <n v="-83.681194083026938"/>
    <n v="0.81714296340942383"/>
    <n v="73.080594722992842"/>
    <n v="34.553881079853262"/>
    <n v="12.700000127156576"/>
    <n v="13.667500019073486"/>
    <n v="14.111000061035156"/>
    <n v="0.78372194365124637"/>
    <n v="20.760957589149474"/>
    <n v="15.678443948337648"/>
    <n v="12.543556173732664"/>
    <n v="-0.26235457745794177"/>
    <n v="-9.9481559323458153E-3"/>
    <n v="0.22215914967369182"/>
    <n v="-57.350152139329616"/>
    <n v="-83.135234288237456"/>
    <n v="8.8838374545364758"/>
    <n v="27.141320658668391"/>
    <n v="-87.782951374830105"/>
    <n v="22.249266271760472"/>
    <n v="13.484012040898355"/>
    <n v="-8.5669239780061607E-2"/>
    <n v="-71.904650464375379"/>
    <n v="13.719680485756559"/>
    <n v="14.375488507791365"/>
    <n v="-0.15744673264776066"/>
    <n v="14.732518373725926"/>
    <n v="16.188651509458598"/>
    <n v="-0.30343409098345159"/>
    <n v="-74.668696117217934"/>
    <n v="19.376479827023882"/>
    <n v="-0.56010303607064948"/>
    <n v="-1.0128378879693667"/>
    <n v="-0.9719210935996756"/>
    <n v="-4.091679436969109E-2"/>
    <n v="-87.889738309715739"/>
    <n v="80.992379496411374"/>
    <n v="42639066.666666664"/>
    <n v="44692940"/>
    <n v="31545103"/>
    <n v="0.62818760885948111"/>
    <n v="0.55336390937808067"/>
    <n v="16.045853963253762"/>
    <n v="8.8622351655089791"/>
    <n v="8.8622351655089791"/>
    <n v="16.391638811307136"/>
    <n v="-88.376707496670662"/>
    <n v="84.009939432994216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6"/>
    <s v="CDLSPINNINGTOP_Bull"/>
    <n v="1"/>
  </r>
  <r>
    <d v="2021-10-22T00:00:00"/>
    <n v="2.7300000190734863"/>
    <n v="2.4700000286102295"/>
    <n v="2.690000057220459"/>
    <n v="2.619999885559082"/>
    <n v="76118000"/>
    <n v="2.619999885559082"/>
    <n v="2.7200000286102295"/>
    <n v="-3.6764758087977634E-2"/>
    <n v="-3.7457616733107719E-2"/>
    <n v="7.0000171661376953E-2"/>
    <n v="0.14999985694885254"/>
    <n v="3.9999961853027344E-2"/>
    <n v="2.6365413339245754E-2"/>
    <n v="2.1428498443471096"/>
    <n v="0.57142662515922915"/>
    <n v="0.4836427717106383"/>
    <n v="0.64700328821887987"/>
    <n v="-0.10497883658521781"/>
    <n v="-78.878886833103934"/>
    <n v="-66.850850046227066"/>
    <n v="-4.2993597934641112"/>
    <n v="7.9216808814894391"/>
    <n v="-0.3900001049041748"/>
    <n v="0.13222220208909777"/>
    <n v="-76118000"/>
    <n v="-2318788700"/>
    <n v="-77.94089729269291"/>
    <n v="37.070410065737121"/>
    <n v="18.301303508000807"/>
    <n v="-79.035318895047638"/>
    <n v="-80.858226617455543"/>
    <n v="0.16285714081355504"/>
    <n v="52.266743774199995"/>
    <n v="49.05771169102583"/>
    <n v="2.75"/>
    <n v="2.949999988079071"/>
    <n v="2.8940000057220461"/>
    <n v="0.15520444849869255"/>
    <n v="3.8816000080108641"/>
    <n v="3.2044089027194311"/>
    <n v="2.583591108724661"/>
    <n v="-0.22305688652182593"/>
    <n v="1.389648031478892E-2"/>
    <n v="0.21451893322988352"/>
    <n v="61.675815686627544"/>
    <n v="14.343699668874063"/>
    <n v="7.818966307612996"/>
    <n v="32.241415176798995"/>
    <n v="-88.465891748609039"/>
    <n v="-51.440257662048708"/>
    <n v="2.8667456142357599"/>
    <n v="-9.4177763150560131E-2"/>
    <n v="-7.2623319169898748"/>
    <n v="2.887229790736014"/>
    <n v="2.9270083081891931"/>
    <n v="-0.11717879238174032"/>
    <n v="2.9521783496675003"/>
    <n v="3.1110466293574004"/>
    <n v="-0.187422429483631"/>
    <n v="-21.153651978115729"/>
    <n v="3.9977629618135166"/>
    <n v="-0.52586379253235482"/>
    <n v="-6.4948558931486211E-2"/>
    <n v="-5.0527728467311989E-2"/>
    <n v="-1.4420830464174222E-2"/>
    <n v="-83.712493116544252"/>
    <n v="27.906487125218568"/>
    <n v="43061344.444444448"/>
    <n v="38455905"/>
    <n v="44134716"/>
    <n v="0.76766427017167493"/>
    <n v="0.97935791655403759"/>
    <n v="19.999980926513672"/>
    <n v="23.333326975504566"/>
    <n v="23.333326975504566"/>
    <n v="35.967075706636578"/>
    <n v="-88.910923709765314"/>
    <n v="86.810552402984683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7"/>
    <s v="CDLHIGHWAVE_Bear"/>
    <n v="-1"/>
  </r>
  <r>
    <d v="2021-10-22T00:00:00"/>
    <n v="12.949999809265137"/>
    <n v="12.210000038146973"/>
    <n v="12.949999809265137"/>
    <n v="12.619999885559082"/>
    <n v="75684300"/>
    <n v="12.619999885559082"/>
    <n v="13.010000228881836"/>
    <n v="-2.9976966676523498E-2"/>
    <n v="-3.0435462072327408E-2"/>
    <n v="0.32999992370605469"/>
    <n v="0.40999984741210938"/>
    <n v="0"/>
    <n v="2.5811492189642224E-2"/>
    <n v="1.2424240672774036"/>
    <n v="0"/>
    <n v="0.37113292009266136"/>
    <n v="0.49901797969414868"/>
    <n v="2.8940898867791838E-2"/>
    <n v="-22.816224277987878"/>
    <n v="59.183163154062782"/>
    <n v="66.613308848003982"/>
    <n v="-27.24512433060513"/>
    <n v="0.13000011444091797"/>
    <n v="0.23162354363335502"/>
    <n v="-75684300"/>
    <n v="-841472500"/>
    <n v="-85.941295631859035"/>
    <n v="68.94321321312637"/>
    <n v="23.095742913253169"/>
    <n v="-83.447187188158438"/>
    <n v="-83.362223493129719"/>
    <n v="0.59357145854404991"/>
    <n v="72.804762229982316"/>
    <n v="53.847939537750669"/>
    <n v="12.923333485921225"/>
    <n v="12.867500066757202"/>
    <n v="12.760045194625855"/>
    <n v="0.43201271843135847"/>
    <n v="16.359900341033935"/>
    <n v="13.624070631488571"/>
    <n v="11.896019757763138"/>
    <n v="-7.9561866484518406E-2"/>
    <n v="5.7367681011184925E-2"/>
    <n v="0.1354267047935877"/>
    <n v="-82.147331920478436"/>
    <n v="-55.633601949048881"/>
    <n v="36.246661510424254"/>
    <n v="45.63271324767986"/>
    <n v="-38.301536675394324"/>
    <n v="84.712637928589544"/>
    <n v="12.796546924695644"/>
    <n v="-1.3989464400755066E-2"/>
    <n v="60.727242744320087"/>
    <n v="12.80319283429799"/>
    <n v="12.913493416528972"/>
    <n v="-2.3256222950186495E-2"/>
    <n v="13.003924599611167"/>
    <n v="13.514253446899616"/>
    <n v="-7.0860029274946182E-2"/>
    <n v="-70.213569551339404"/>
    <n v="15.487567394414015"/>
    <n v="-0.2272240518905437"/>
    <n v="-0.20073176531317749"/>
    <n v="-0.280598833784794"/>
    <n v="7.9867068471616509E-2"/>
    <n v="61.131668535834706"/>
    <n v="84.332441548412248"/>
    <n v="74585144.444444448"/>
    <n v="59930885"/>
    <n v="44657086"/>
    <n v="1.47369233343011E-2"/>
    <n v="0.26285970914662782"/>
    <n v="58.064484372971521"/>
    <n v="73.446642781821524"/>
    <n v="73.446642781821524"/>
    <n v="69.514432403657338"/>
    <n v="87.393641482494957"/>
    <n v="87.195519067497031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8"/>
    <s v="NO_PATTERN"/>
    <n v="0"/>
  </r>
  <r>
    <d v="2021-10-22T00:00:00"/>
    <n v="29.639999389648438"/>
    <n v="27.909999847412109"/>
    <n v="29.639999389648438"/>
    <n v="28.909999847412109"/>
    <n v="32789100"/>
    <n v="28.909999847412109"/>
    <n v="29.819999694824219"/>
    <n v="-3.0516427120220735E-2"/>
    <n v="-3.0991748352439452E-2"/>
    <n v="0.72999954223632813"/>
    <n v="1"/>
    <n v="0"/>
    <n v="2.4935936865879867E-2"/>
    <n v="1.3698638727039949"/>
    <n v="0"/>
    <n v="0.33585213053234664"/>
    <n v="0.3886379402025929"/>
    <n v="-4.7619999958783243E-2"/>
    <n v="-85.068001482967745"/>
    <n v="-68.679651460838201"/>
    <n v="7.1506810121317015"/>
    <n v="50.825694989409691"/>
    <n v="-2.0499992370605469"/>
    <n v="0.84444448682996964"/>
    <n v="-32789100"/>
    <n v="-124159600"/>
    <n v="-85.990386887296509"/>
    <n v="36.829734867252917"/>
    <n v="21.100720658539196"/>
    <n v="-71.224811723633209"/>
    <n v="81.60520144250215"/>
    <n v="1.1142854690551758"/>
    <n v="80.258368031437442"/>
    <n v="61.519004374527711"/>
    <n v="29.976666768391926"/>
    <n v="30.714999914169312"/>
    <n v="30.218499851226806"/>
    <n v="0.92607409925887763"/>
    <n v="30.79764199256897"/>
    <n v="32.070648049744563"/>
    <n v="28.366351652709049"/>
    <n v="-0.10932716080990848"/>
    <n v="1.880484944906442E-2"/>
    <n v="0.12258372901608902"/>
    <n v="-62.214682585023837"/>
    <n v="66.200775774413174"/>
    <n v="18.786179692744966"/>
    <n v="39.142336844557938"/>
    <n v="-88.632736307578611"/>
    <n v="-77.105953409219296"/>
    <n v="30.355247900403178"/>
    <n v="-4.9991285389800535E-2"/>
    <n v="43.839756366851425"/>
    <n v="30.364433357192187"/>
    <n v="30.227103629465883"/>
    <n v="-4.5558761293859891E-2"/>
    <n v="30.163592456348084"/>
    <n v="30.141786731071161"/>
    <n v="-4.2607640614336265E-2"/>
    <n v="36.200746681188562"/>
    <n v="30.932000277039201"/>
    <n v="-6.9941212047709214E-2"/>
    <n v="0.20084090084410278"/>
    <n v="0.31552624948388125"/>
    <n v="-0.11468534863977847"/>
    <n v="-86.435693922700239"/>
    <n v="-61.707502044553785"/>
    <n v="16895977.777777776"/>
    <n v="15587165"/>
    <n v="16361243"/>
    <n v="0.94064530808778968"/>
    <n v="1.1035961318174281"/>
    <n v="22.421529266260791"/>
    <n v="38.405657285476593"/>
    <n v="38.405657285476593"/>
    <n v="52.155082519686438"/>
    <n v="-86.833534136523511"/>
    <n v="-25.93085528429091"/>
    <n v="1"/>
    <n v="0"/>
    <n v="1"/>
    <n v="1"/>
    <n v="0"/>
    <n v="1"/>
    <n v="-1"/>
    <n v="0"/>
    <n v="-1"/>
    <n v="-1"/>
    <n v="0"/>
    <n v="-1"/>
    <n v="0"/>
    <n v="0"/>
    <n v="0"/>
    <n v="0"/>
    <n v="0"/>
    <n v="0"/>
    <n v="0"/>
    <n v="0"/>
    <n v="0"/>
    <n v="0"/>
    <x v="9"/>
    <s v="CDLBELTHOLD_Bull"/>
    <n v="1"/>
  </r>
  <r>
    <d v="2021-10-22T00:00:00"/>
    <n v="5.059999942779541"/>
    <n v="4.75"/>
    <n v="4.9899997711181641"/>
    <n v="5.0100002288818359"/>
    <n v="30841000"/>
    <n v="5.0100002288818359"/>
    <n v="5.0500001907348633"/>
    <n v="-7.9207842261895811E-3"/>
    <n v="-7.95232027477797E-3"/>
    <n v="2.0000457763671875E-2"/>
    <n v="0.23999977111816406"/>
    <n v="4.9999713897705078E-2"/>
    <n v="4.0000915527343747E-3"/>
    <n v="11.999713904253291"/>
    <n v="2.4999284760633227"/>
    <n v="0.43662752390192305"/>
    <n v="0.3850884424481904"/>
    <n v="3.8661997104867715E-2"/>
    <n v="-32.557762807533031"/>
    <n v="-1.7066659053883806"/>
    <n v="17.800224907593101"/>
    <n v="13.63792008685931"/>
    <n v="-9.9999904632568359E-2"/>
    <n v="0.26777776082356769"/>
    <n v="-30841000"/>
    <n v="-211525875"/>
    <n v="-77.244932312749484"/>
    <n v="2.6269765180536977"/>
    <n v="17.694724005383925"/>
    <n v="-73.120708611311017"/>
    <n v="-76.180577881962137"/>
    <n v="0.20142844745091029"/>
    <n v="41.071401122246868"/>
    <n v="9.1189236902957358"/>
    <n v="5.1033334732055664"/>
    <n v="5.143750011920929"/>
    <n v="4.9905000209808348"/>
    <n v="0.16001560334141404"/>
    <n v="5.9872499942779545"/>
    <n v="5.3105312276636631"/>
    <n v="4.6704688142980064"/>
    <n v="-5.9986224561291414E-2"/>
    <n v="6.7770738337792111E-2"/>
    <n v="0.12825616885577301"/>
    <n v="17.089250507197242"/>
    <n v="-48.170591778620008"/>
    <n v="28.676039194106721"/>
    <n v="46.879446159356107"/>
    <n v="-87.436627717521688"/>
    <n v="81.10186716176301"/>
    <n v="5.0877980057820977"/>
    <n v="-1.5528497673866415E-2"/>
    <n v="15.974197560195391"/>
    <n v="5.0756916347937437"/>
    <n v="5.0642876958239427"/>
    <n v="-1.083582124989702E-2"/>
    <n v="5.0734101729817178"/>
    <n v="5.1780106268288399"/>
    <n v="-3.3535008038213535E-2"/>
    <n v="-3.46112572074543"/>
    <n v="6.3696931641407293"/>
    <n v="-0.27139578306214135"/>
    <n v="2.2814618120259311E-3"/>
    <n v="-2.3231449309678513E-2"/>
    <n v="2.5512911121704444E-2"/>
    <n v="-49.678275407041987"/>
    <n v="32.358521451590029"/>
    <n v="16487022.222222222"/>
    <n v="13471325"/>
    <n v="26441244.5"/>
    <n v="0.87062281983405132"/>
    <n v="1.2893813340558555"/>
    <n v="42.424284021616621"/>
    <n v="56.671223214678299"/>
    <n v="56.671223214678299"/>
    <n v="65.839095512182595"/>
    <n v="-87.480102781487034"/>
    <n v="87.897160563401968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0"/>
    <s v="CDL3INSIDE_Bull"/>
    <n v="1"/>
  </r>
  <r>
    <d v="2021-10-22T00:00:00"/>
    <n v="15.229999542236328"/>
    <n v="14.539999961853027"/>
    <n v="14.829999923706055"/>
    <n v="15"/>
    <n v="29599100"/>
    <n v="15"/>
    <n v="15.140000343322754"/>
    <n v="-9.2470502079280426E-3"/>
    <n v="-9.2900695836282791E-3"/>
    <n v="0.17000007629394531"/>
    <n v="0.28999996185302734"/>
    <n v="0.22999954223632813"/>
    <n v="1.1397926699882113E-2"/>
    <n v="1.7058813629682819"/>
    <n v="1.3529378765609397"/>
    <n v="0.32396081825023321"/>
    <n v="0.21223455381676126"/>
    <n v="-5.3191564183197784E-3"/>
    <n v="-80.852696330694656"/>
    <n v="-65.427723137492563"/>
    <n v="25.842086425781307"/>
    <n v="-38.77217074182888"/>
    <n v="-0.35999965667724609"/>
    <n v="9.1111077202690974E-2"/>
    <n v="-29599100"/>
    <n v="230150600"/>
    <n v="-77.978514605288439"/>
    <n v="-8.6027323986593505"/>
    <n v="21.050377771694173"/>
    <n v="48.039069905251438"/>
    <n v="-80.510196320231216"/>
    <n v="0.42999996457781109"/>
    <n v="78.548032073027002"/>
    <n v="-10.225878231341088"/>
    <n v="15.183333396911621"/>
    <n v="15.355000019073486"/>
    <n v="15.350500011444092"/>
    <n v="0.24543132842749715"/>
    <n v="16.303088932037355"/>
    <n v="15.841362668299087"/>
    <n v="14.859637354589097"/>
    <n v="-5.6090844553272491E-2"/>
    <n v="9.3575096940602034E-3"/>
    <n v="6.3953963257098817E-2"/>
    <n v="-36.447648234054171"/>
    <n v="-77.127227199667189"/>
    <n v="26.171623355730262"/>
    <n v="37.537276406667097"/>
    <n v="-86.338042567038627"/>
    <n v="81.153124337760772"/>
    <n v="15.271447395524522"/>
    <n v="-1.809649303496812E-2"/>
    <n v="-3.8953235818587841"/>
    <n v="15.309711520161848"/>
    <n v="15.453664678280091"/>
    <n v="-3.0244311885339433E-2"/>
    <n v="15.545154814157563"/>
    <n v="15.938272532705847"/>
    <n v="-6.2551502180389795E-2"/>
    <n v="-65.257969095371919"/>
    <n v="16.085154501911692"/>
    <n v="-7.2343633460779461E-2"/>
    <n v="-0.23544329399571495"/>
    <n v="-0.26220911941760233"/>
    <n v="2.6765825421887379E-2"/>
    <n v="-84.676621888454591"/>
    <n v="82.578550630431437"/>
    <n v="20498422.222222224"/>
    <n v="23290385"/>
    <n v="24132514"/>
    <n v="0.44396967137850174"/>
    <n v="0.2708720787569634"/>
    <n v="38.983043998318948"/>
    <n v="47.060264022987361"/>
    <n v="47.060264022987361"/>
    <n v="50.418767361617448"/>
    <n v="-82.571621990837997"/>
    <n v="86.2316690450711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1"/>
    <s v="NO_PATTERN"/>
    <n v="0"/>
  </r>
  <r>
    <d v="2021-10-22T00:00:00"/>
    <n v="1.0299999713897705"/>
    <n v="0.93000000715255737"/>
    <n v="1.0199999809265137"/>
    <n v="0.98000001907348633"/>
    <n v="292338000"/>
    <n v="0.98000001907348633"/>
    <n v="1.0399999618530273"/>
    <n v="-5.7692254788774933E-2"/>
    <n v="-5.9423364328277758E-2"/>
    <n v="3.9999961853027344E-2"/>
    <n v="5.0000011920928955E-2"/>
    <n v="9.9999904632568359E-3"/>
    <n v="3.9999961853027344E-2"/>
    <n v="1.2500014901175405"/>
    <n v="0.25"/>
    <n v="0.53179045372482436"/>
    <n v="0.60825596228000767"/>
    <n v="5.2367997289134723E-2"/>
    <n v="-82.26383772851473"/>
    <n v="68.678102532982948"/>
    <n v="64.110338340043739"/>
    <n v="32.542750312917583"/>
    <n v="5.0000011920928955E-2"/>
    <n v="5.2222225401136607E-2"/>
    <n v="-292338000"/>
    <n v="5456047100"/>
    <n v="-80.474992476834601"/>
    <n v="36.25190366382602"/>
    <n v="24.906954358446171"/>
    <n v="68.703954605237442"/>
    <n v="75.611951476925725"/>
    <n v="5.9999998126711161E-2"/>
    <n v="80.852344737676532"/>
    <n v="64.936210778898257"/>
    <n v="1.0366666714350383"/>
    <n v="1.0337500125169754"/>
    <n v="0.99900000691413882"/>
    <n v="5.3792975610982625E-2"/>
    <n v="1.5726499968767167"/>
    <n v="1.1065859581361042"/>
    <n v="0.89141405569217358"/>
    <n v="-0.12916932306011072"/>
    <n v="9.0393838425701131E-2"/>
    <n v="0.21538728824295594"/>
    <n v="75.265568819271508"/>
    <n v="76.687259674852996"/>
    <n v="22.224973247344693"/>
    <n v="44.19080939742576"/>
    <n v="-88.664658241499993"/>
    <n v="85.200578857354159"/>
    <n v="1.0241615286707182"/>
    <n v="-4.5062764018089639E-2"/>
    <n v="69.231561299620154"/>
    <n v="1.0186046772386463"/>
    <n v="1.0126533363119781"/>
    <n v="-3.3319710819355808E-2"/>
    <n v="1.0154945852058734"/>
    <n v="1.0641951791608357"/>
    <n v="-8.5913426988449823E-2"/>
    <n v="-40.593333535389505"/>
    <n v="1.3773524261459003"/>
    <n v="-0.40546163197841534"/>
    <n v="3.1100920327729042E-3"/>
    <n v="-7.629616822236473E-3"/>
    <n v="1.0739708855009376E-2"/>
    <n v="-78.495596026909098"/>
    <n v="77.637986251959774"/>
    <n v="122171877.77777778"/>
    <n v="91094375"/>
    <n v="103171803"/>
    <n v="1.3928419970080403"/>
    <n v="2.209177295524559"/>
    <n v="22.222219769356549"/>
    <n v="43.209865641584685"/>
    <n v="43.209865641584685"/>
    <n v="56.378590103113829"/>
    <n v="86.122066205851496"/>
    <n v="82.565028595747947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2"/>
    <s v="CDLCLOSINGMARUBOZU_Bull"/>
    <n v="1"/>
  </r>
  <r>
    <d v="2021-10-22T00:00:00"/>
    <n v="5.619999885559082"/>
    <n v="5.179999828338623"/>
    <n v="5.5399999618530273"/>
    <n v="5.4099998474121094"/>
    <n v="45199800"/>
    <n v="5.4099998474121094"/>
    <n v="5.6700000762939453"/>
    <n v="-4.5855418938861581E-2"/>
    <n v="-4.694006654177884E-2"/>
    <n v="0.13000011444091797"/>
    <n v="0.23000001907348633"/>
    <n v="7.9999923706054688E-2"/>
    <n v="2.374431355348898E-2"/>
    <n v="1.769229358471188"/>
    <n v="0.61538348677695043"/>
    <n v="1.0642093919417714"/>
    <n v="0.95991523260422951"/>
    <n v="0.11547510097670213"/>
    <n v="-74.990862991969991"/>
    <n v="58.862638988676935"/>
    <n v="57.808488411968767"/>
    <n v="40.172849284044958"/>
    <n v="0.40999984741210938"/>
    <n v="0.75333325068155921"/>
    <n v="-45199800"/>
    <n v="-389468109"/>
    <n v="-87.087484092897867"/>
    <n v="80.616277836790744"/>
    <n v="34.555985793828469"/>
    <n v="-83.268397933130032"/>
    <n v="-79.665819035326606"/>
    <n v="0.40642850739615305"/>
    <n v="57.949794018983006"/>
    <n v="53.830751188092094"/>
    <n v="5.7966666221618652"/>
    <n v="5.6887499094009399"/>
    <n v="5.2239999294281008"/>
    <n v="0.53841286718079784"/>
    <n v="16.375800278186798"/>
    <n v="6.3008256637896967"/>
    <n v="4.1471741950665049"/>
    <n v="-0.16466281728338988"/>
    <n v="0.23342434158287106"/>
    <n v="0.41226100647343683"/>
    <n v="80.711858731304702"/>
    <n v="54.306713176096387"/>
    <n v="27.315458843699233"/>
    <n v="48.502867780239086"/>
    <n v="-88.671144977429122"/>
    <n v="86.336005844096292"/>
    <n v="5.6224643796180382"/>
    <n v="-3.9272557892503814E-2"/>
    <n v="58.629466143962659"/>
    <n v="5.5525974442113917"/>
    <n v="5.4823137651097751"/>
    <n v="-1.3366713444965678E-2"/>
    <n v="5.5250478393822267"/>
    <n v="6.4047491663999239"/>
    <n v="-0.18387233771617498"/>
    <n v="-39.383661960827126"/>
    <n v="14.268676968006545"/>
    <n v="-1.6374634695843868"/>
    <n v="2.754960482916502E-2"/>
    <n v="-0.11291914516386178"/>
    <n v="0.1404687499930268"/>
    <n v="-64.432438154963094"/>
    <n v="72.281318829020179"/>
    <n v="43088955.555555552"/>
    <n v="37213835"/>
    <n v="19115922.835000001"/>
    <n v="4.8988062421770451E-2"/>
    <n v="0.21459666814774669"/>
    <n v="46.568618972041918"/>
    <n v="65.522872990680654"/>
    <n v="65.522872990680654"/>
    <n v="79.35729569955727"/>
    <n v="84.859278880460792"/>
    <n v="88.347199771445005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3"/>
    <s v="CDLLONGLEGGEDDOJI_Bull"/>
    <n v="1"/>
  </r>
  <r>
    <d v="2021-10-22T00:00:00"/>
    <n v="29.659999847412109"/>
    <n v="27.159999847412109"/>
    <n v="29.270000457763672"/>
    <n v="29.190000534057617"/>
    <n v="12900600"/>
    <n v="29.190000534057617"/>
    <n v="29.690000534057617"/>
    <n v="-1.6840686797106819E-2"/>
    <n v="-1.6984103601529306E-2"/>
    <n v="7.9999923706054688E-2"/>
    <n v="2.0300006866455078"/>
    <n v="0.3899993896484375"/>
    <n v="2.7369114727605597E-3"/>
    <n v="25.37503278258589"/>
    <n v="4.8749970197649191"/>
    <n v="0.51997676448253061"/>
    <n v="0.54286157062407581"/>
    <n v="-0.19175505186858283"/>
    <n v="-84.179118912945228"/>
    <n v="-82.491972977553417"/>
    <n v="-78.264353113865738"/>
    <n v="-74.649353935387538"/>
    <n v="-6.6700000762939453"/>
    <n v="-3.7166663275824652"/>
    <n v="-12900600"/>
    <n v="346577000"/>
    <n v="-84.270766245984504"/>
    <n v="-72.726811396289548"/>
    <n v="22.077982780726334"/>
    <n v="87.309436975659551"/>
    <n v="57.690274830342524"/>
    <n v="1.5342860903058733"/>
    <n v="70.925854346763117"/>
    <n v="-37.344179934111018"/>
    <n v="29.853333791097004"/>
    <n v="32.558750152587891"/>
    <n v="35.065999984741211"/>
    <n v="2.8258084420139604"/>
    <n v="39.528599815368651"/>
    <n v="40.717616868769134"/>
    <n v="29.414383100713291"/>
    <n v="-0.39491661952049634"/>
    <n v="-7.6869668568136556E-3"/>
    <n v="0.32234169203714103"/>
    <n v="84.125855571501006"/>
    <n v="66.30775048959552"/>
    <n v="3.7224465878110493"/>
    <n v="21.187969058429871"/>
    <n v="-87.466001442305384"/>
    <n v="-85.49780272456448"/>
    <n v="32.176296927714944"/>
    <n v="-0.10230545868517701"/>
    <n v="-77.733200155748804"/>
    <n v="32.849516627552944"/>
    <n v="34.042353777547277"/>
    <n v="-0.16623340715010079"/>
    <n v="34.464566394863027"/>
    <n v="35.890294695150956"/>
    <n v="-0.229540734446912"/>
    <n v="-52.794214921061972"/>
    <n v="37.658009293803076"/>
    <n v="-0.29009964387857262"/>
    <n v="-1.615049767310083"/>
    <n v="-0.8966299248313756"/>
    <n v="-0.71841984247870738"/>
    <n v="-85.923700160749803"/>
    <n v="-81.839513548609574"/>
    <n v="7623911.111111111"/>
    <n v="5533410"/>
    <n v="6256857.5"/>
    <n v="0.69212361109491782"/>
    <n v="1.331401432389792"/>
    <n v="17.424896315559575"/>
    <n v="7.8412709966213496"/>
    <n v="7.8412709966213496"/>
    <n v="5.0376249420630597"/>
    <n v="-84.987524613290788"/>
    <n v="-87.943529050067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4"/>
    <s v="NO_PATTERN"/>
    <n v="0"/>
  </r>
  <r>
    <d v="2021-10-22T00:00:00"/>
    <n v="2.3900001049041748"/>
    <n v="2.2599999904632568"/>
    <n v="2.3299999237060547"/>
    <n v="2.3599998950958252"/>
    <n v="82808700"/>
    <n v="2.3599998950958252"/>
    <n v="2.3399999141693115"/>
    <n v="8.5470007094481382E-3"/>
    <n v="8.5106818967682057E-3"/>
    <n v="2.9999971389770508E-2"/>
    <n v="6.9999933242797852E-2"/>
    <n v="3.0000209808349609E-2"/>
    <n v="1.2793165266021004E-2"/>
    <n v="2.3333333333333335"/>
    <n v="1.0000079472935492"/>
    <n v="0.47082089194572341"/>
    <n v="0.7494009515573048"/>
    <n v="2.1414074823655815E-2"/>
    <n v="-75.762177678492975"/>
    <n v="-61.400740911381391"/>
    <n v="21.578347878558766"/>
    <n v="24.417103398830044"/>
    <n v="-0.28000020980834961"/>
    <n v="0.10777775446573894"/>
    <n v="82808700"/>
    <n v="-474017500"/>
    <n v="18.22943086689089"/>
    <n v="8.4923155534260797"/>
    <n v="27.546178960326735"/>
    <n v="-86.114241057796974"/>
    <n v="-85.61173848720972"/>
    <n v="0.14857144015175955"/>
    <n v="58.067150222520326"/>
    <n v="63.883931632531713"/>
    <n v="2.3733332951863608"/>
    <n v="2.4637499451637268"/>
    <n v="2.4149999737739565"/>
    <n v="0.11203854300007959"/>
    <n v="3.3980660605430604"/>
    <n v="2.6390770597741158"/>
    <n v="2.1909228877737972"/>
    <n v="-0.11825304113708825"/>
    <n v="7.1642802897312341E-2"/>
    <n v="0.18557108772965383"/>
    <n v="-41.637095325581129"/>
    <n v="71.984501140326515"/>
    <n v="34.126338872004027"/>
    <n v="44.156308895383127"/>
    <n v="-87.097293943160494"/>
    <n v="65.212612521408786"/>
    <n v="2.4263427717349337"/>
    <n v="-2.8111389655979098E-2"/>
    <n v="3.6957404702244623"/>
    <n v="2.4317411804695808"/>
    <n v="2.4530044039845333"/>
    <n v="-3.9408691958832398E-2"/>
    <n v="2.4758136688890886"/>
    <n v="2.6384386353443787"/>
    <n v="-0.11798252229890367"/>
    <n v="-34.632682653760732"/>
    <n v="3.3381487915484707"/>
    <n v="-0.41446988980180816"/>
    <n v="-4.4072488419507838E-2"/>
    <n v="-5.2957153983972702E-2"/>
    <n v="8.8846655644648637E-3"/>
    <n v="-85.916999898145306"/>
    <n v="18.30710920849722"/>
    <n v="47731300"/>
    <n v="37439000"/>
    <n v="32940231.5"/>
    <n v="0.7348930366447175"/>
    <n v="1.2118299099869119"/>
    <n v="28.260840269931272"/>
    <n v="31.159405266631428"/>
    <n v="31.159405266631428"/>
    <n v="38.164234682183462"/>
    <n v="-88.120757226929385"/>
    <n v="85.616848995070612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5"/>
    <s v="CDLSHORTLINE_Bear"/>
    <n v="-1"/>
  </r>
  <r>
    <d v="2021-10-22T00:00:00"/>
    <n v="28.360000610351563"/>
    <n v="26.819999694824219"/>
    <n v="28.100000381469727"/>
    <n v="27.899999618530273"/>
    <n v="43723800"/>
    <n v="27.899999618530273"/>
    <n v="28.459999084472656"/>
    <n v="-1.9676721150982401E-2"/>
    <n v="-1.9872885338220198E-2"/>
    <n v="0.20000076293945313"/>
    <n v="1.0799999237060547"/>
    <n v="0.26000022888183594"/>
    <n v="7.1428843906947547E-3"/>
    <n v="5.3999790192450741"/>
    <n v="1.2999961853172863"/>
    <n v="0.45041910408474917"/>
    <n v="0.33188397057559998"/>
    <n v="-4.5542060247729596E-2"/>
    <n v="-84.74947640847239"/>
    <n v="-80.051147828422785"/>
    <n v="-55.534399118707022"/>
    <n v="57.556826527678716"/>
    <n v="-1.8900012969970703"/>
    <n v="0.5877774556477865"/>
    <n v="-43723800"/>
    <n v="816795200"/>
    <n v="-83.730664153128203"/>
    <n v="-58.082621987818897"/>
    <n v="20.648222518535032"/>
    <n v="-83.512336781845889"/>
    <n v="63.395737611513447"/>
    <n v="0.99357114519391743"/>
    <n v="78.291476349056481"/>
    <n v="0.48318888089877127"/>
    <n v="28.619999567667644"/>
    <n v="29.456249713897705"/>
    <n v="29.054999923706056"/>
    <n v="0.92028334097570974"/>
    <n v="25.431707162857055"/>
    <n v="30.895566605657475"/>
    <n v="27.214433241754637"/>
    <n v="-0.10736799383816634"/>
    <n v="2.457227190498975E-2"/>
    <n v="0.12669534928820944"/>
    <n v="-82.054609555132558"/>
    <n v="-46.828600049136242"/>
    <n v="16.976952720009308"/>
    <n v="39.254559282875732"/>
    <n v="-88.633950131172384"/>
    <n v="-85.675791072150417"/>
    <n v="29.053803526610803"/>
    <n v="-4.1354979349684677E-2"/>
    <n v="-0.89574471073552664"/>
    <n v="29.062224614930813"/>
    <n v="28.822801710401301"/>
    <n v="-3.3075344246891389E-2"/>
    <n v="28.670742422496822"/>
    <n v="28.096401356700955"/>
    <n v="-7.039488919571099E-3"/>
    <n v="70.885756940552056"/>
    <n v="25.801426011126299"/>
    <n v="7.5217693050080539E-2"/>
    <n v="0.39148219243399041"/>
    <n v="0.59420247694883799"/>
    <n v="-0.20272028451484758"/>
    <n v="-86.503365188597101"/>
    <n v="-81.730061264160327"/>
    <n v="21613444.444444444"/>
    <n v="19001260"/>
    <n v="21790847"/>
    <n v="1.022990833894541"/>
    <n v="1.3011000323136463"/>
    <n v="26.535626650770531"/>
    <n v="33.067434496654407"/>
    <n v="33.067434496654407"/>
    <n v="42.724193013602267"/>
    <n v="-87.502559465534745"/>
    <n v="-81.129869191017136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16"/>
    <s v="CDLBELTHOLD_Bull"/>
    <n v="1"/>
  </r>
  <r>
    <d v="2021-10-22T00:00:00"/>
    <n v="37.770000457763672"/>
    <n v="36.310001373291016"/>
    <n v="36.709999084472656"/>
    <n v="37.319999694824219"/>
    <n v="13107800"/>
    <n v="37.319999694824219"/>
    <n v="37.389999389648438"/>
    <n v="-1.8721501997027712E-3"/>
    <n v="-1.8739048632256795E-3"/>
    <n v="0.6100006103515625"/>
    <n v="0.39999771118164063"/>
    <n v="0.45000076293945313"/>
    <n v="1.6479822245307248E-2"/>
    <n v="0.65573329664557123"/>
    <n v="0.73770543062260796"/>
    <n v="0.30647313583564278"/>
    <n v="0.3256959586127558"/>
    <n v="1.6752591952806008E-2"/>
    <n v="-79.913741900611058"/>
    <n v="-48.721021934941433"/>
    <n v="45.914677874757857"/>
    <n v="67.97526346405526"/>
    <n v="-6.999969482421875E-2"/>
    <n v="1.0066663953993056"/>
    <n v="-13107800"/>
    <n v="424090100"/>
    <n v="-75.485962354263805"/>
    <n v="76.554378654046388"/>
    <n v="41.827341940941096"/>
    <n v="-26.050276344845766"/>
    <n v="81.782561019024925"/>
    <n v="1.2378575461251395"/>
    <n v="-63.808296888953599"/>
    <n v="-3.9426152589302514"/>
    <n v="37.623332977294922"/>
    <n v="37.946249961853027"/>
    <n v="37.190500259399414"/>
    <n v="1.0040573001084876"/>
    <n v="29.111078996658325"/>
    <n v="39.198614859616391"/>
    <n v="35.182385659182437"/>
    <n v="-5.0338027335319391E-2"/>
    <n v="5.7277975699936576E-2"/>
    <n v="0.10799072807360006"/>
    <n v="-87.327522258585674"/>
    <n v="-81.011832543763376"/>
    <n v="26.252160536131413"/>
    <n v="54.701558819123363"/>
    <n v="-87.825911597493828"/>
    <n v="-81.823775480371552"/>
    <n v="37.636647581408333"/>
    <n v="-8.4846701279054151E-3"/>
    <n v="66.424122387808339"/>
    <n v="37.474652111321703"/>
    <n v="36.745250572368946"/>
    <n v="1.540056610812307E-2"/>
    <n v="36.320764135348412"/>
    <n v="34.650294909631434"/>
    <n v="7.1535498580484636E-2"/>
    <n v="78.670536483529602"/>
    <n v="29.748429692618309"/>
    <n v="0.20288237042124049"/>
    <n v="1.1538879759732907"/>
    <n v="1.3411393244763745"/>
    <n v="-0.18725134850308378"/>
    <n v="-87.658725678948173"/>
    <n v="-86.368255487628915"/>
    <n v="17922222.222222224"/>
    <n v="15771800"/>
    <n v="13338343"/>
    <n v="-0.26862864228146321"/>
    <n v="-0.1689090655473694"/>
    <n v="48.209352205745581"/>
    <n v="56.565638520234181"/>
    <n v="56.565638520234181"/>
    <n v="65.17040973136271"/>
    <n v="-85.287801959630485"/>
    <n v="-35.576390503834006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7"/>
    <s v="CDLENGULFING_Bear"/>
    <n v="-1"/>
  </r>
  <r>
    <d v="2021-10-22T00:00:00"/>
    <n v="23.590000152587891"/>
    <n v="21.479999542236328"/>
    <n v="23.590000152587891"/>
    <n v="22.930000305175781"/>
    <n v="36861700"/>
    <n v="22.930000305175781"/>
    <n v="23.229999542236328"/>
    <n v="-1.2914302323385529E-2"/>
    <n v="-1.2998416897775453E-2"/>
    <n v="0.65999984741210938"/>
    <n v="1.4500007629394531"/>
    <n v="0"/>
    <n v="2.8374885680034972E-2"/>
    <n v="2.1969713608646648"/>
    <n v="0"/>
    <n v="0.40241900934652042"/>
    <n v="0.55922364864614238"/>
    <n v="-6.2137006486319604E-2"/>
    <n v="-84.562817611566643"/>
    <n v="-72.562362190276772"/>
    <n v="-43.997266551221053"/>
    <n v="-64.539936353213562"/>
    <n v="-2.7199993133544922"/>
    <n v="-0.61999956766764319"/>
    <n v="-36861700"/>
    <n v="-158892300"/>
    <n v="-87.436491303763248"/>
    <n v="75.920282580489243"/>
    <n v="30.855062156947497"/>
    <n v="-30.395497080387106"/>
    <n v="-79.391198540104739"/>
    <n v="1.4114289964948381"/>
    <n v="85.635968722356097"/>
    <n v="83.147780460812058"/>
    <n v="23.650000254313152"/>
    <n v="24.507500171661377"/>
    <n v="24.975000000000001"/>
    <n v="1.0569246443577101"/>
    <n v="26.940492601394652"/>
    <n v="27.088849288715423"/>
    <n v="22.86115071128458"/>
    <n v="-0.1813715188918206"/>
    <n v="3.0025989086297773E-3"/>
    <n v="0.16927722031755127"/>
    <n v="47.948488277694018"/>
    <n v="7.8978699107469899"/>
    <n v="21.577904920114463"/>
    <n v="35.568905208506436"/>
    <n v="-86.912390446890342"/>
    <n v="73.44632985269503"/>
    <n v="24.266907662000328"/>
    <n v="-5.8303852552622028E-2"/>
    <n v="-51.71510811579293"/>
    <n v="24.483585470478801"/>
    <n v="25.043109038160328"/>
    <n v="-9.2154762532104001E-2"/>
    <n v="25.328546361020269"/>
    <n v="26.402751441600628"/>
    <n v="-0.15145011296144528"/>
    <n v="-64.848267590093144"/>
    <n v="26.212995516189167"/>
    <n v="-0.14317466931181616"/>
    <n v="-0.8449608905414685"/>
    <n v="-0.76674808315726251"/>
    <n v="-7.8212807384205996E-2"/>
    <n v="-86.599522257812907"/>
    <n v="79.389546205354733"/>
    <n v="18912966.666666668"/>
    <n v="15349335"/>
    <n v="13266672.5"/>
    <n v="0.94901734083670974"/>
    <n v="1.4015177204745353"/>
    <n v="30.916857096495157"/>
    <n v="31.615495891643594"/>
    <n v="31.615495891643594"/>
    <n v="39.517874917491106"/>
    <n v="-86.009067275147032"/>
    <n v="86.295403206368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8"/>
    <s v="CDLSPINNINGTOP_Bear"/>
    <n v="-1"/>
  </r>
  <r>
    <d v="2021-10-22T00:00:00"/>
    <n v="48.990001678466797"/>
    <n v="46.439998626708984"/>
    <n v="48.610000610351563"/>
    <n v="47.849998474121094"/>
    <n v="10774100"/>
    <n v="47.849998474121094"/>
    <n v="49.409999847412109"/>
    <n v="-3.1572584054009534E-2"/>
    <n v="-3.2081743759293721E-2"/>
    <n v="0.76000213623046875"/>
    <n v="1.4099998474121094"/>
    <n v="0.38000106811523438"/>
    <n v="1.5757871520710138E-2"/>
    <n v="1.8552577423078853"/>
    <n v="0.5"/>
    <n v="0.38398466494476441"/>
    <n v="0.39059946441158372"/>
    <n v="-9.8250710168176283E-2"/>
    <n v="-86.909791325194448"/>
    <n v="-83.103131665611087"/>
    <n v="-65.249649190741636"/>
    <n v="-63.135631604066702"/>
    <n v="-7.2000007629394531"/>
    <n v="-0.78666856553819442"/>
    <n v="-10774100"/>
    <n v="129388200"/>
    <n v="-86.281024571952372"/>
    <n v="-46.824599827206583"/>
    <n v="21.231185998298379"/>
    <n v="86.64674614475399"/>
    <n v="-71.137928288869318"/>
    <n v="2.2399992261614119"/>
    <n v="81.921090494356321"/>
    <n v="12.131240176820024"/>
    <n v="49.699999491373696"/>
    <n v="53.331250190734863"/>
    <n v="54.146685791015628"/>
    <n v="2.3391897126961241"/>
    <n v="61.323008232116699"/>
    <n v="58.825065216407879"/>
    <n v="49.468306365623377"/>
    <n v="-0.22936399356882894"/>
    <n v="-3.3820437682511507E-2"/>
    <n v="0.17280390690757727"/>
    <n v="82.109453686042301"/>
    <n v="22.163036235691894"/>
    <n v="5.13036877392382"/>
    <n v="24.277016384070748"/>
    <n v="-88.690709057316397"/>
    <n v="-67.104514468414962"/>
    <n v="52.30268483977958"/>
    <n v="-9.305509942840752E-2"/>
    <n v="-67.258344748008341"/>
    <n v="52.887616892950291"/>
    <n v="53.958764963505992"/>
    <n v="-0.12766492547933364"/>
    <n v="54.394743637106941"/>
    <n v="56.080382187390327"/>
    <n v="-0.17200384484276432"/>
    <n v="-57.505676004645821"/>
    <n v="58.898515765048096"/>
    <n v="-0.23089901030827442"/>
    <n v="-1.5071267441566505"/>
    <n v="-0.9318061932672338"/>
    <n v="-0.57532055088941669"/>
    <n v="-87.761608173730849"/>
    <n v="39.448194529453929"/>
    <n v="6792500"/>
    <n v="6441745"/>
    <n v="5775460.5"/>
    <n v="0.58617592933382401"/>
    <n v="0.67254369739876374"/>
    <n v="13.26434342176516"/>
    <n v="7.2560698799298367"/>
    <n v="7.2560698799298367"/>
    <n v="20.082116823425594"/>
    <n v="-89.071355770912049"/>
    <n v="85.7937940087591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9"/>
    <s v="NO_PATTERN"/>
    <n v="0"/>
  </r>
  <r>
    <d v="2021-10-22T00:00:00"/>
    <n v="10.789999961853027"/>
    <n v="10.170000076293945"/>
    <n v="10.789999961853027"/>
    <n v="10.529999732971191"/>
    <n v="65875500"/>
    <n v="10.529999732971191"/>
    <n v="10.840000152587891"/>
    <n v="-2.8597824285333751E-2"/>
    <n v="-2.901470930085116E-2"/>
    <n v="0.26000022888183594"/>
    <n v="0.35999965667724609"/>
    <n v="0"/>
    <n v="2.4390265722654327E-2"/>
    <n v="1.3846128452481385"/>
    <n v="0"/>
    <n v="0.2887854182671335"/>
    <n v="0.32724344340786082"/>
    <n v="-5.721116290657307E-2"/>
    <n v="-85.174262334128514"/>
    <n v="-76.811759414917191"/>
    <n v="-69.447573733407822"/>
    <n v="-46.179551699411135"/>
    <n v="-0.78999996185302734"/>
    <n v="-0.19999991522894967"/>
    <n v="-65875500"/>
    <n v="479149400"/>
    <n v="-85.512655774643704"/>
    <n v="-5.3274666848142562"/>
    <n v="15.270086979703517"/>
    <n v="14.586269918030835"/>
    <n v="-70.666724769924045"/>
    <n v="0.34214285441807341"/>
    <n v="80.437533218045189"/>
    <n v="39.769283343227066"/>
    <n v="10.836666742960611"/>
    <n v="11.026250004768372"/>
    <n v="11.136999940872192"/>
    <n v="0.20993984509081795"/>
    <n v="10.840721573829651"/>
    <n v="11.556879631053828"/>
    <n v="10.717120250690556"/>
    <n v="-9.7519460980355396E-2"/>
    <n v="-1.7770230053611377E-2"/>
    <n v="7.5402656444434418E-2"/>
    <n v="-50.711071440158797"/>
    <n v="-31.828482609694795"/>
    <n v="19.024970697932659"/>
    <n v="35.774908258112674"/>
    <n v="-87.69207061364223"/>
    <n v="-80.893098800871499"/>
    <n v="10.977757716257466"/>
    <n v="-4.2522126746524946E-2"/>
    <n v="-61.716750224644777"/>
    <n v="11.019336132768331"/>
    <n v="11.075822954780271"/>
    <n v="-5.1835065114010981E-2"/>
    <n v="11.09293074184934"/>
    <n v="11.132980789708963"/>
    <n v="-5.7263159736817178E-2"/>
    <n v="-6.5896916480266876"/>
    <n v="10.890542381625941"/>
    <n v="-3.4239568641757007E-2"/>
    <n v="-7.3594609081009565E-2"/>
    <n v="-1.6917902585454454E-2"/>
    <n v="-5.6676706495555111E-2"/>
    <n v="-85.633715795286861"/>
    <n v="-80.065439460219579"/>
    <n v="37385077.777777776"/>
    <n v="39817550"/>
    <n v="32196454.5"/>
    <n v="0.76208005749174434"/>
    <n v="0.65443378610688008"/>
    <n v="27.480901026037504"/>
    <n v="30.768247880344813"/>
    <n v="30.768247880344813"/>
    <n v="33.003608695516441"/>
    <n v="-84.282293191674526"/>
    <n v="-84.3904710333636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0"/>
    <s v="CDLCLOSINGMARUBOZU_Bull"/>
    <n v="1"/>
  </r>
  <r>
    <d v="2021-10-22T00:00:00"/>
    <n v="39.419998168945313"/>
    <n v="37.400001525878906"/>
    <n v="38.509998321533203"/>
    <n v="38.889999389648438"/>
    <n v="12439500"/>
    <n v="38.889999389648438"/>
    <n v="39.349998474121094"/>
    <n v="-1.1689939067600741E-2"/>
    <n v="-1.1758803612961239E-2"/>
    <n v="0.38000106811523438"/>
    <n v="1.1099967956542969"/>
    <n v="0.529998779296875"/>
    <n v="9.8191493372702596E-3"/>
    <n v="2.9210359885559405"/>
    <n v="1.3947297093811173"/>
    <n v="0.37070845437494815"/>
    <n v="0.32152528321119528"/>
    <n v="3.4797441570694636E-2"/>
    <n v="-76.043472219180913"/>
    <n v="-44.711495939711028"/>
    <n v="64.765925967010773"/>
    <n v="-25.737499493114164"/>
    <n v="0.23999786376953125"/>
    <n v="0.84666654798719621"/>
    <n v="-12439500"/>
    <n v="523651300"/>
    <n v="-70.422031011481977"/>
    <n v="27.997227367054062"/>
    <n v="14.602178072533414"/>
    <n v="-81.366986762870411"/>
    <n v="-75.236700856797341"/>
    <n v="1.5064288548060827"/>
    <n v="83.652497425631623"/>
    <n v="72.670320272381048"/>
    <n v="39.453332265218101"/>
    <n v="39.921249389648438"/>
    <n v="39.52696418762207"/>
    <n v="1.1479568003931335"/>
    <n v="37.176605396270752"/>
    <n v="41.822877788408334"/>
    <n v="37.231050586835806"/>
    <n v="-7.5414719588310322E-2"/>
    <n v="4.265746538566937E-2"/>
    <n v="0.11616948824545614"/>
    <n v="-39.21596208102946"/>
    <n v="-1.3847525372903395"/>
    <n v="28.391093845300446"/>
    <n v="45.728857918369798"/>
    <n v="-86.784066522254236"/>
    <n v="81.825479285691557"/>
    <n v="39.494654187970383"/>
    <n v="-1.5547822263090334E-2"/>
    <n v="57.435696885304566"/>
    <n v="39.480270157537156"/>
    <n v="39.317659736438486"/>
    <n v="-1.0996666328153281E-2"/>
    <n v="39.170292784693409"/>
    <n v="38.361034310627694"/>
    <n v="1.3601570771984654E-2"/>
    <n v="47.342602058841479"/>
    <n v="36.169232181075252"/>
    <n v="6.9960587587393666E-2"/>
    <n v="0.30997737284374693"/>
    <n v="0.42426061872082743"/>
    <n v="-0.1142832458770805"/>
    <n v="-80.313796751619719"/>
    <n v="81.630887868946758"/>
    <n v="7597855.555555556"/>
    <n v="7468315"/>
    <n v="9803933.5"/>
    <n v="0.63723828507166491"/>
    <n v="0.6656367600991655"/>
    <n v="52.719646238894093"/>
    <n v="64.504846445217481"/>
    <n v="64.504846445217481"/>
    <n v="68.565344051294815"/>
    <n v="-81.888933255222852"/>
    <n v="86.822046775329611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21"/>
    <s v="NO_PATTERN"/>
    <n v="0"/>
  </r>
  <r>
    <d v="2021-10-22T00:00:00"/>
    <n v="33.110000610351563"/>
    <n v="30.399999618530273"/>
    <n v="33"/>
    <n v="32.049999237060547"/>
    <n v="33233200"/>
    <n v="32.049999237060547"/>
    <n v="30.354545593261719"/>
    <n v="5.5855016461692442E-2"/>
    <n v="5.4350880840909381E-2"/>
    <n v="0.95000076293945313"/>
    <n v="1.6499996185302734"/>
    <n v="0.1100006103515625"/>
    <n v="2.920832510627348E-2"/>
    <n v="1.7368403088697664"/>
    <n v="0.11579002316924794"/>
    <n v="0.39799931831212321"/>
    <n v="0.50252161451592492"/>
    <n v="4.3034480117416181E-2"/>
    <n v="-75.146684521875514"/>
    <n v="14.191432257714494"/>
    <n v="46.04638364124159"/>
    <n v="-25.782106425430353"/>
    <n v="0.50454521179199219"/>
    <n v="0.30858548482259113"/>
    <n v="33233200"/>
    <n v="39808215"/>
    <n v="75.688391301598443"/>
    <n v="70.60663003558065"/>
    <n v="19.667553163544259"/>
    <n v="-86.262550396688184"/>
    <n v="-86.314725131891976"/>
    <n v="1.5786360331944056"/>
    <n v="73.651979337900329"/>
    <n v="63.149462776191434"/>
    <n v="31.449999491373699"/>
    <n v="31.742613077163696"/>
    <n v="31.647499370574952"/>
    <n v="0.85156546755572415"/>
    <n v="37.093016948699955"/>
    <n v="33.350630305686401"/>
    <n v="29.944368435463502"/>
    <n v="-4.05813135596549E-2"/>
    <n v="6.5698310506111621E-2"/>
    <n v="0.10763131172979674"/>
    <n v="-69.357472974117826"/>
    <n v="-27.238036990859474"/>
    <n v="59.230670424505675"/>
    <n v="51.275652404957405"/>
    <n v="-85.088676593845818"/>
    <n v="83.212304728372899"/>
    <n v="31.6101899672108"/>
    <n v="1.3722598449898852E-2"/>
    <n v="33.538302873957988"/>
    <n v="31.653228804884392"/>
    <n v="31.927106691363672"/>
    <n v="3.8344008930511794E-3"/>
    <n v="32.143454530764508"/>
    <n v="33.353523483286459"/>
    <n v="-4.0671584313755643E-2"/>
    <n v="-67.235894321508312"/>
    <n v="36.649049087985738"/>
    <n v="-0.14349609860854995"/>
    <n v="-0.4902257258801157"/>
    <n v="-0.62640352199146998"/>
    <n v="0.13617779611135428"/>
    <n v="-78.636322731801812"/>
    <n v="73.755819512226509"/>
    <n v="14390542.222222222"/>
    <n v="11659598.5"/>
    <n v="10179621.414999999"/>
    <n v="1.3093778876990814"/>
    <n v="1.8502868259142886"/>
    <n v="67.105256553500638"/>
    <n v="51.31578639163363"/>
    <n v="51.31578639163363"/>
    <n v="53.841038409882174"/>
    <n v="-53.104830079621685"/>
    <n v="85.9103074034066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2"/>
    <s v="CDLRICKSHAWMAN_Bull"/>
    <n v="1"/>
  </r>
  <r>
    <d v="2021-10-22T00:00:00"/>
    <n v="54"/>
    <n v="49.720001220703125"/>
    <n v="49.799999237060547"/>
    <n v="52.799999237060547"/>
    <n v="27965900"/>
    <n v="52.799999237060547"/>
    <n v="49.200000762939453"/>
    <n v="7.3170699558867458E-2"/>
    <n v="7.0617537257443047E-2"/>
    <n v="3"/>
    <n v="7.9998016357421875E-2"/>
    <n v="1.2000007629394531"/>
    <n v="5.847953303345698E-2"/>
    <n v="2.6666005452473957E-2"/>
    <n v="0.40000025431315106"/>
    <n v="0.35581098609493389"/>
    <n v="0.39657803316210538"/>
    <n v="6.5953642769838713E-2"/>
    <n v="79.293168850856603"/>
    <n v="1.1706388751979815"/>
    <n v="-5.6228333229139986"/>
    <n v="-65.998650928433221"/>
    <n v="3.4899978637695313"/>
    <n v="-1.5155554877387152"/>
    <n v="27965900"/>
    <n v="19129900"/>
    <n v="85.740996024792906"/>
    <n v="-43.340860459167182"/>
    <n v="23.858037427118024"/>
    <n v="-10.257083467817795"/>
    <n v="46.278295967918666"/>
    <n v="1.9292858668736048"/>
    <n v="80.208866287852999"/>
    <n v="-64.781839588134758"/>
    <n v="50.16999944051107"/>
    <n v="50.099999904632568"/>
    <n v="51.306500053405763"/>
    <n v="2.2139257178954903"/>
    <n v="62.611250076293942"/>
    <n v="55.73435148919674"/>
    <n v="46.878648617614786"/>
    <n v="-5.5574854063190189E-2"/>
    <n v="0.11214679365543512"/>
    <n v="0.17260391689871479"/>
    <n v="55.562901358974571"/>
    <n v="-80.232838120521123"/>
    <n v="84.736382206099591"/>
    <n v="57.0864943142737"/>
    <n v="88.111166478879326"/>
    <n v="83.509759620432362"/>
    <n v="50.366581374468282"/>
    <n v="4.6087460184738756E-2"/>
    <n v="-55.601458243798149"/>
    <n v="50.574023357262554"/>
    <n v="51.581248870803471"/>
    <n v="2.308239363385502E-2"/>
    <n v="52.142209152190944"/>
    <n v="54.171926432313839"/>
    <n v="-2.5983469982520956E-2"/>
    <n v="-70.74089403909187"/>
    <n v="57.685089919464758"/>
    <n v="-9.2520658200603637E-2"/>
    <n v="-1.5681857949283895"/>
    <n v="-1.8505967166013604"/>
    <n v="0.28241092167297088"/>
    <n v="83.536094677260323"/>
    <n v="82.595947734618974"/>
    <n v="10475944.444444444"/>
    <n v="9268915"/>
    <n v="7941729.5"/>
    <n v="1.6695349663514825"/>
    <n v="2.0171708339109808"/>
    <n v="82.532737270597565"/>
    <n v="40.213623410945296"/>
    <n v="40.213623410945296"/>
    <n v="21.789249135293037"/>
    <n v="-76.496452759193218"/>
    <n v="50.984240489768958"/>
    <n v="0"/>
    <n v="1"/>
    <n v="1"/>
    <n v="0"/>
    <n v="0"/>
    <n v="0"/>
    <n v="0"/>
    <n v="0"/>
    <n v="0"/>
    <n v="0"/>
    <n v="1"/>
    <n v="1"/>
    <n v="0"/>
    <n v="0"/>
    <n v="0"/>
    <n v="0"/>
    <n v="0"/>
    <n v="0"/>
    <n v="0"/>
    <n v="0"/>
    <n v="0"/>
    <n v="0"/>
    <x v="23"/>
    <s v="CDLMATCHINGLOW_Bull"/>
    <n v="1"/>
  </r>
  <r>
    <d v="2021-10-22T00:00:00"/>
    <n v="27.040000915527344"/>
    <n v="26.149999618530273"/>
    <n v="26.260000228881836"/>
    <n v="26.729999542236328"/>
    <n v="15111500"/>
    <n v="26.729999542236328"/>
    <n v="26.559999465942383"/>
    <n v="6.4006054108523003E-3"/>
    <n v="6.3802085247208666E-3"/>
    <n v="0.46999931335449219"/>
    <n v="0.1100006103515625"/>
    <n v="0.31000137329101563"/>
    <n v="1.7739170235311536E-2"/>
    <n v="0.23404419373820587"/>
    <n v="0.65957835359048755"/>
    <n v="0.38364661599482824"/>
    <n v="0.34538335992654973"/>
    <n v="-5.9679345573232087E-3"/>
    <n v="-81.467471932274819"/>
    <n v="-61.135697691812609"/>
    <n v="25.356043709290429"/>
    <n v="47.832979663027551"/>
    <n v="-0.45000076293945313"/>
    <n v="0.74444431728786897"/>
    <n v="15111500"/>
    <n v="446105300"/>
    <n v="-75.845594529768078"/>
    <n v="57.46842143570499"/>
    <n v="14.335975995535167"/>
    <n v="-31.176548699024373"/>
    <n v="-83.088583612221612"/>
    <n v="1.0171431132725306"/>
    <n v="-6.9840149267842797"/>
    <n v="-82.407168952415887"/>
    <n v="26.899999618530273"/>
    <n v="27.583749771118164"/>
    <n v="27.07807102203369"/>
    <n v="0.73362615549852672"/>
    <n v="28.244050798416136"/>
    <n v="28.545323333030744"/>
    <n v="25.610818711036636"/>
    <n v="-6.7913349116448932E-2"/>
    <n v="4.186984101631816E-2"/>
    <n v="0.10837199664652158"/>
    <n v="-83.9264870202624"/>
    <n v="-61.469220279725967"/>
    <n v="23.552228170985885"/>
    <n v="44.277445127478749"/>
    <n v="-88.372108296738091"/>
    <n v="-59.991938901123227"/>
    <n v="27.249605266169119"/>
    <n v="-1.9439047243968614E-2"/>
    <n v="46.832634229878614"/>
    <n v="27.230159702800453"/>
    <n v="27.138632272831284"/>
    <n v="-1.5287420037148579E-2"/>
    <n v="27.139995484236643"/>
    <n v="27.452178282508772"/>
    <n v="-2.7017536574638627E-2"/>
    <n v="1.7091499559966401"/>
    <n v="27.06250814508287"/>
    <n v="-1.2439528939053715E-2"/>
    <n v="9.0164218563810294E-2"/>
    <n v="8.9890456764652196E-2"/>
    <n v="2.7376179915809817E-4"/>
    <n v="-87.794466786748387"/>
    <n v="-79.941227994722155"/>
    <n v="13825722.222222222"/>
    <n v="14728355"/>
    <n v="15221454.5"/>
    <n v="9.2998959266745063E-2"/>
    <n v="2.6014106802830339E-2"/>
    <n v="34.843195386211399"/>
    <n v="39.331266767919068"/>
    <n v="39.331266767919068"/>
    <n v="54.987343217956344"/>
    <n v="-88.077778208634427"/>
    <n v="-50.54067424742972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24"/>
    <s v="CDLCLOSINGMARUBOZU_Bear"/>
    <n v="-1"/>
  </r>
  <r>
    <d v="2021-10-22T00:00:00"/>
    <n v="17.760000228881836"/>
    <n v="16.260000228881836"/>
    <n v="17.469999313354492"/>
    <n v="17.079999923706055"/>
    <n v="15169200"/>
    <n v="17.079999923706055"/>
    <n v="17.819999694824219"/>
    <n v="-4.1526362726767907E-2"/>
    <n v="-4.2413221023633207E-2"/>
    <n v="0.3899993896484375"/>
    <n v="0.81999969482421875"/>
    <n v="0.29000091552734375"/>
    <n v="2.2575942012183846E-2"/>
    <n v="2.1025666105872687"/>
    <n v="0.74359325482217609"/>
    <n v="0.52706055070757019"/>
    <n v="0.47356711740042873"/>
    <n v="-0.15632292915030693"/>
    <n v="-84.228249316447702"/>
    <n v="-79.30632772175926"/>
    <n v="-71.036204923801222"/>
    <n v="-67.829490152358943"/>
    <n v="-3"/>
    <n v="-1.427777608235677"/>
    <n v="-15169200"/>
    <n v="-57543100"/>
    <n v="-87.078783168036026"/>
    <n v="-73.29653296624727"/>
    <n v="17.954340540820631"/>
    <n v="84.160547749149771"/>
    <n v="-78.316134519549294"/>
    <n v="0.94785703931535992"/>
    <n v="77.87280932025034"/>
    <n v="-50.924766669829822"/>
    <n v="17.696666717529297"/>
    <n v="19.107499837875366"/>
    <n v="20.100499820709228"/>
    <n v="1.2658405484112469"/>
    <n v="22.3739000415802"/>
    <n v="22.63218091753172"/>
    <n v="17.568818723886736"/>
    <n v="-0.32506914628960615"/>
    <n v="-2.8619367819916013E-2"/>
    <n v="0.25190230286852278"/>
    <n v="80.346856348013731"/>
    <n v="9.7664875115876875"/>
    <n v="4.5552914129013971"/>
    <n v="23.883361787869887"/>
    <n v="-88.29321382440007"/>
    <n v="-84.29969696782787"/>
    <n v="18.840936448717471"/>
    <n v="-0.10309932862279104"/>
    <n v="-70.353065979438313"/>
    <n v="19.126397144427514"/>
    <n v="19.545455197332839"/>
    <n v="-0.14434749910068057"/>
    <n v="19.657436246957609"/>
    <n v="20.063056193397149"/>
    <n v="-0.174652007202341"/>
    <n v="-29.130880327497575"/>
    <n v="21.617494460407503"/>
    <n v="-0.26566127382727139"/>
    <n v="-0.53103910253009445"/>
    <n v="-0.15404577980846151"/>
    <n v="-0.37699332272163294"/>
    <n v="-85.124715259228395"/>
    <n v="-76.827461322905009"/>
    <n v="6629966.666666667"/>
    <n v="5625885"/>
    <n v="7090648"/>
    <n v="1.2879753040487887"/>
    <n v="1.6963224452686112"/>
    <n v="15.101282665538884"/>
    <n v="8.7487577780048102"/>
    <n v="8.7487577780048102"/>
    <n v="9.4242388906393781"/>
    <n v="-88.110119159579085"/>
    <n v="-87.2292335875849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5"/>
    <s v="CDLHARAMI_Bull"/>
    <n v="1"/>
  </r>
  <r>
    <d v="2021-10-22T00:00:00"/>
    <n v="68.019996643066406"/>
    <n v="61.459999084472656"/>
    <n v="64.669998168945313"/>
    <n v="65.739997863769531"/>
    <n v="6144700"/>
    <n v="65.739997863769531"/>
    <n v="65.349998474121094"/>
    <n v="5.9678561400866581E-3"/>
    <n v="5.9501190200355845E-3"/>
    <n v="1.0699996948242188"/>
    <n v="3.2099990844726563"/>
    <n v="2.279998779296875"/>
    <n v="1.6409780344687642E-2"/>
    <n v="3"/>
    <n v="2.1308405883904826"/>
    <n v="0.41962481246055644"/>
    <n v="0.36912748945116125"/>
    <n v="-6.4215236532436604E-2"/>
    <n v="-84.049691647251862"/>
    <n v="-81.097670631607613"/>
    <n v="-69.998149728677021"/>
    <n v="-74.409101914491217"/>
    <n v="-6.2600021362304688"/>
    <n v="-3.0333319769965277"/>
    <n v="6144700"/>
    <n v="-38838500"/>
    <n v="-85.345627758903717"/>
    <n v="-79.598069654885521"/>
    <n v="32.873228548518007"/>
    <n v="86.668169833592017"/>
    <n v="83.342626909411621"/>
    <n v="3.3907138279506137"/>
    <n v="79.385110934176367"/>
    <n v="-30.815483202662922"/>
    <n v="65.696665445963546"/>
    <n v="69.059999465942383"/>
    <n v="71.742999267578128"/>
    <n v="3.7419825656385286"/>
    <n v="83.687391929626472"/>
    <n v="79.226964398855188"/>
    <n v="64.259034136301068"/>
    <n v="-0.20515617543879722"/>
    <n v="2.2527590136790201E-2"/>
    <n v="0.20863262499980789"/>
    <n v="-50.237153932285771"/>
    <n v="-51.991757569573366"/>
    <n v="20.419843644220137"/>
    <n v="26.3587391166609"/>
    <n v="-86.988464671285314"/>
    <n v="50.057795234124171"/>
    <n v="68.639074510104578"/>
    <n v="-4.4099129001231363E-2"/>
    <n v="-76.606439729584935"/>
    <n v="69.564649515661799"/>
    <n v="71.87484038775905"/>
    <n v="-9.3319785873776831E-2"/>
    <n v="72.886171997106189"/>
    <n v="76.040204072640478"/>
    <n v="-0.15668096354696676"/>
    <n v="-76.380201524635893"/>
    <n v="79.348998645289839"/>
    <n v="-0.20701249199493005"/>
    <n v="-3.32152248144439"/>
    <n v="-2.8519565781552916"/>
    <n v="-0.46956590328909842"/>
    <n v="-85.09452094307801"/>
    <n v="81.395480481703657"/>
    <n v="3977311.111111111"/>
    <n v="4267295"/>
    <n v="3923250.5"/>
    <n v="0.54493823297705313"/>
    <n v="0.43995200706770921"/>
    <n v="35.139562167975711"/>
    <n v="17.398990972219291"/>
    <n v="17.398990972219291"/>
    <n v="15.254269292822443"/>
    <n v="-87.378007868484573"/>
    <n v="80.2198749230019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6"/>
    <s v="NO_PATTERN"/>
    <n v="0"/>
  </r>
  <r>
    <d v="2021-10-22T00:00:00"/>
    <n v="36.209999084472656"/>
    <n v="34.400001525878906"/>
    <n v="35.560001373291016"/>
    <n v="35.680000305175781"/>
    <n v="4660700"/>
    <n v="35.680000305175781"/>
    <n v="36.5"/>
    <n v="-2.2465745063677267E-2"/>
    <n v="-2.2721944323504387E-2"/>
    <n v="0.11999893188476563"/>
    <n v="1.1599998474121094"/>
    <n v="0.529998779296875"/>
    <n v="3.3688638140792421E-3"/>
    <n v="9.6667514384715645"/>
    <n v="4.4166958069745998"/>
    <n v="0.33712589691855083"/>
    <n v="0.25253352054975386"/>
    <n v="-4.5474825935081155E-2"/>
    <n v="-84.406085439696994"/>
    <n v="-77.00119811321423"/>
    <n v="-3.7148209282887512"/>
    <n v="-18.250714113199621"/>
    <n v="-2.1899986267089844"/>
    <n v="0.34000057644314235"/>
    <n v="-4660700"/>
    <n v="-53145800"/>
    <n v="-85.839332157996054"/>
    <n v="-50.393878033738346"/>
    <n v="19.926817004551229"/>
    <n v="-78.371219629516872"/>
    <n v="-76.330438450908318"/>
    <n v="1.2421430860246931"/>
    <n v="29.327372370875363"/>
    <n v="-17.054478899089741"/>
    <n v="36.676666259765625"/>
    <n v="38.003750324249268"/>
    <n v="37.850499916076657"/>
    <n v="0.90995361008306308"/>
    <n v="38.589170694351196"/>
    <n v="39.670407136242787"/>
    <n v="36.030592695910528"/>
    <n v="-0.11183875551952147"/>
    <n v="-9.8260198356525594E-3"/>
    <n v="9.6162915903424587E-2"/>
    <n v="-35.554434595058588"/>
    <n v="-76.168858906032085"/>
    <n v="5.0481545076029164"/>
    <n v="32.101448622515733"/>
    <n v="-89.071535788983198"/>
    <n v="-80.944648713118866"/>
    <n v="37.438283779889012"/>
    <n v="-4.9279244946031357E-2"/>
    <n v="3.0092296330248121"/>
    <n v="37.52608034913402"/>
    <n v="37.421906231929555"/>
    <n v="-4.8820232955577934E-2"/>
    <n v="37.301803573061207"/>
    <n v="36.945747869820771"/>
    <n v="-3.5474987494923838E-2"/>
    <n v="45.682019614542433"/>
    <n v="39.198699652106555"/>
    <n v="-9.8618254395596155E-2"/>
    <n v="0.22427677607281282"/>
    <n v="0.52262694040983493"/>
    <n v="-0.29835016433702211"/>
    <n v="-85.01733349842759"/>
    <n v="-62.643655424994684"/>
    <n v="2251900"/>
    <n v="2827540"/>
    <n v="3512345.5"/>
    <n v="1.069674497091345"/>
    <n v="0.64832327747794904"/>
    <n v="25.651289123597774"/>
    <n v="31.753014428563045"/>
    <n v="31.753014428563045"/>
    <n v="41.993048777510261"/>
    <n v="-88.214870847262162"/>
    <n v="-12.241432573406598"/>
    <n v="1"/>
    <n v="0"/>
    <n v="1"/>
    <n v="1"/>
    <n v="0"/>
    <n v="1"/>
    <n v="0"/>
    <n v="0"/>
    <n v="0"/>
    <n v="-1"/>
    <n v="0"/>
    <n v="-1"/>
    <n v="0"/>
    <n v="0"/>
    <n v="0"/>
    <n v="0"/>
    <n v="1"/>
    <n v="1"/>
    <n v="0"/>
    <n v="0"/>
    <n v="0"/>
    <n v="0"/>
    <x v="27"/>
    <s v="CDLCLOSINGMARUBOZU_Bull"/>
    <n v="1"/>
  </r>
  <r>
    <d v="2021-10-22T00:00:00"/>
    <n v="22.530000686645508"/>
    <n v="21.620000839233398"/>
    <n v="22.309999465942383"/>
    <n v="22.010000228881836"/>
    <n v="11559700"/>
    <n v="22.010000228881836"/>
    <n v="22.799999237060547"/>
    <n v="-3.4649080465520288E-2"/>
    <n v="-3.5263596560774615E-2"/>
    <n v="0.29999923706054688"/>
    <n v="0.3899993896484375"/>
    <n v="0.220001220703125"/>
    <n v="1.3537871801726633E-2"/>
    <n v="1.300001271568989"/>
    <n v="0.73333926732194854"/>
    <n v="0.38838472037907246"/>
    <n v="0.42249616952934765"/>
    <n v="-0.18110920953856008"/>
    <n v="-85.881311539707369"/>
    <n v="-84.71857082952026"/>
    <n v="-81.543654690188845"/>
    <n v="-73.216788279087737"/>
    <n v="-4.3199996948242188"/>
    <n v="-2.1333336300320096"/>
    <n v="-11559700"/>
    <n v="-155426900"/>
    <n v="-87.070529112965389"/>
    <n v="-83.351209900984728"/>
    <n v="24.847902135118797"/>
    <n v="83.701605225996531"/>
    <n v="-62.671073410338103"/>
    <n v="0.92357131413051063"/>
    <n v="74.764954258639577"/>
    <n v="0.27493344746552001"/>
    <n v="22.849999745686848"/>
    <n v="24.451250076293945"/>
    <n v="25.718000125885009"/>
    <n v="1.5207984954056692"/>
    <n v="24.303549909591673"/>
    <n v="28.759597116696348"/>
    <n v="22.67640313507367"/>
    <n v="-0.30666046422651078"/>
    <n v="-3.0277278476234216E-2"/>
    <n v="0.23653448759026877"/>
    <n v="18.50088707904267"/>
    <n v="-61.594760323758628"/>
    <n v="1.274050078712861"/>
    <n v="19.205061441260796"/>
    <n v="-88.026910057639753"/>
    <n v="-87.756400701928527"/>
    <n v="24.183556814092512"/>
    <n v="-9.8753137783183842E-2"/>
    <n v="-80.355840945132343"/>
    <n v="24.511422831494251"/>
    <n v="24.85552848390229"/>
    <n v="-0.12928342687095984"/>
    <n v="24.892987314966138"/>
    <n v="24.921807234234926"/>
    <n v="-0.13229472853581234"/>
    <n v="18.920679121418047"/>
    <n v="24.411005740144127"/>
    <n v="-0.1090870280006475"/>
    <n v="-0.38156448347188743"/>
    <n v="0.15889524879616707"/>
    <n v="-0.54045973226805444"/>
    <n v="-87.014822954646519"/>
    <n v="-86.228868870867259"/>
    <n v="8729222.222222222"/>
    <n v="8261765"/>
    <n v="8546630.5"/>
    <n v="0.3242531471557859"/>
    <n v="0.3991804414674105"/>
    <n v="6.6213825137886104"/>
    <n v="6.3286783330391261"/>
    <n v="6.3286783330391261"/>
    <n v="5.8084785544079409"/>
    <n v="-88.963030179703523"/>
    <n v="-88.266049303086632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28"/>
    <s v="CDLBELTHOLD_Bull"/>
    <n v="1"/>
  </r>
  <r>
    <d v="2021-10-22T00:00:00"/>
    <n v="15.479999542236328"/>
    <n v="14.300000190734863"/>
    <n v="15.300000190734863"/>
    <n v="15.180000305175781"/>
    <n v="18596300"/>
    <n v="15.180000305175781"/>
    <n v="15.590000152587891"/>
    <n v="-2.6298899512457674E-2"/>
    <n v="-2.66509007859441E-2"/>
    <n v="0.11999988555908203"/>
    <n v="0.88000011444091797"/>
    <n v="0.17999935150146484"/>
    <n v="7.8740081106745286E-3"/>
    <n v="7.3333412806268825"/>
    <n v="1.4999960263532255"/>
    <n v="0.44204151943814785"/>
    <n v="0.50565539380452285"/>
    <n v="-0.12318488728153881"/>
    <n v="-86.621552175150882"/>
    <n v="-83.077221386134269"/>
    <n v="-72.840283382368909"/>
    <n v="-71.458963017082198"/>
    <n v="-2.7299995422363281"/>
    <n v="-0.68111122979058158"/>
    <n v="-18596300"/>
    <n v="-20259800"/>
    <n v="-88.208575309951641"/>
    <n v="-80.184935139254833"/>
    <n v="20.739137661451014"/>
    <n v="86.582970763164496"/>
    <n v="-22.896667675490097"/>
    <n v="0.89214270455496647"/>
    <n v="64.799084753539447"/>
    <n v="4.7047350118037921"/>
    <n v="15.806666692097982"/>
    <n v="17.085000038146973"/>
    <n v="17.676500034332275"/>
    <n v="1.0267489809947128"/>
    <n v="22.667079849243166"/>
    <n v="19.7299979963217"/>
    <n v="15.62300207234285"/>
    <n v="-0.29973633726440368"/>
    <n v="-2.9183251532348266E-2"/>
    <n v="0.23234214442915826"/>
    <n v="72.088152081966982"/>
    <n v="43.281868097149264"/>
    <n v="6.0728365598941139"/>
    <n v="24.378703100882007"/>
    <n v="-88.530898816905321"/>
    <n v="-71.765761868628289"/>
    <n v="16.777170906409985"/>
    <n v="-0.10521545251152807"/>
    <n v="-73.531483688328905"/>
    <n v="17.048704182361277"/>
    <n v="17.61339627401442"/>
    <n v="-0.16030276152293269"/>
    <n v="17.852628649403051"/>
    <n v="18.778074588611869"/>
    <n v="-0.23702728663380107"/>
    <n v="-67.693260890387052"/>
    <n v="21.529478544609642"/>
    <n v="-0.4182791904996826"/>
    <n v="-0.80392446704177445"/>
    <n v="-0.58593349258016936"/>
    <n v="-0.21799097446160509"/>
    <n v="-86.255483184479772"/>
    <n v="45.396114661172781"/>
    <n v="10447244.444444444"/>
    <n v="9137010"/>
    <n v="6844102.5"/>
    <n v="0.78001961176365486"/>
    <n v="1.0352719325030835"/>
    <n v="20.417634078076933"/>
    <n v="11.190463782895852"/>
    <n v="11.190463782895852"/>
    <n v="13.884872121646127"/>
    <n v="-87.053419868400425"/>
    <n v="78.1597747522798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9"/>
    <s v="NO_PATTERN"/>
    <n v="0"/>
  </r>
  <r>
    <d v="2021-10-22T00:00:00"/>
    <n v="16.719999313354492"/>
    <n v="15.630000114440918"/>
    <n v="16.389999389648438"/>
    <n v="16.579999923706055"/>
    <n v="27554700"/>
    <n v="16.579999923706055"/>
    <n v="16.389999389648438"/>
    <n v="1.1592467427278708E-2"/>
    <n v="1.1525789589111997E-2"/>
    <n v="0.19000053405761719"/>
    <n v="0.75999927520751953"/>
    <n v="0.1399993896484375"/>
    <n v="1.1525661996641748E-2"/>
    <n v="3.9999849420268032"/>
    <n v="0.73683682176379062"/>
    <n v="0.35242635427212132"/>
    <n v="0.42324273970275811"/>
    <n v="-6.1971870872631875E-2"/>
    <n v="-86.508324253703378"/>
    <n v="-84.326948378238441"/>
    <n v="-61.067577529866689"/>
    <n v="10.126611375603446"/>
    <n v="-1.6599998474121094"/>
    <n v="0.34333335028754342"/>
    <n v="27554700"/>
    <n v="-71961100"/>
    <n v="-86.991661632856051"/>
    <n v="-76.472304223677909"/>
    <n v="30.315838135013184"/>
    <n v="-79.912150476044815"/>
    <n v="-85.736984066318328"/>
    <n v="0.72071422849382671"/>
    <n v="77.351015755519512"/>
    <n v="71.949014907357039"/>
    <n v="16.683333079020183"/>
    <n v="17.65874981880188"/>
    <n v="17.561499881744385"/>
    <n v="0.67544349568208417"/>
    <n v="19.780400009155272"/>
    <n v="18.912386873108552"/>
    <n v="16.210612890380219"/>
    <n v="-0.14067472618426582"/>
    <n v="2.227907328260521E-2"/>
    <n v="0.15384642547171581"/>
    <n v="80.204737262157209"/>
    <n v="52.150476788350652"/>
    <n v="21.156285559439368"/>
    <n v="34.799230428693178"/>
    <n v="-88.528928496240326"/>
    <n v="-79.154255849067383"/>
    <n v="17.346150319621451"/>
    <n v="-4.6209312390885819E-2"/>
    <n v="-67.694095098793071"/>
    <n v="17.452407495460498"/>
    <n v="17.636932161185708"/>
    <n v="-6.3747421130470189E-2"/>
    <n v="17.73058987705722"/>
    <n v="18.191240458554375"/>
    <n v="-9.7179767325847322E-2"/>
    <n v="-45.805802259460521"/>
    <n v="19.548007619805386"/>
    <n v="-0.17901132145698498"/>
    <n v="-0.27818238159672148"/>
    <n v="-0.17574264560353411"/>
    <n v="-0.10243973599318737"/>
    <n v="-87.762060105293102"/>
    <n v="-45.693185015195091"/>
    <n v="12659122.222222222"/>
    <n v="12691165"/>
    <n v="10468831"/>
    <n v="1.1766675063480792"/>
    <n v="1.1711718348945901"/>
    <n v="30.448712952273183"/>
    <n v="18.586740128935844"/>
    <n v="18.586740128935844"/>
    <n v="29.146851641996133"/>
    <n v="-89.260398118104419"/>
    <n v="86.3552357530693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0"/>
    <s v="NO_PATTERN"/>
    <n v="0"/>
  </r>
  <r>
    <d v="2021-10-22T00:00:00"/>
    <n v="22.309999465942383"/>
    <n v="20.190000534057617"/>
    <n v="21.319999694824219"/>
    <n v="21.510000228881836"/>
    <n v="27917600"/>
    <n v="21.510000228881836"/>
    <n v="22.030000686645508"/>
    <n v="-2.360419616686138E-2"/>
    <n v="-2.388723806255174E-2"/>
    <n v="0.19000053405761719"/>
    <n v="1.1299991607666016"/>
    <n v="0.79999923706054688"/>
    <n v="8.8723107352822305E-3"/>
    <n v="5.9473472870551625"/>
    <n v="4.2105104652913719"/>
    <n v="0.3500702263692414"/>
    <n v="0.38206637168512386"/>
    <n v="-0.11161701090835918"/>
    <n v="-87.147925438469997"/>
    <n v="-85.164364392642412"/>
    <n v="-72.407478255940148"/>
    <n v="-61.495684758057273"/>
    <n v="-3.1999988555908203"/>
    <n v="-5.3333282470703125E-2"/>
    <n v="-27917600"/>
    <n v="173078300"/>
    <n v="-85.512678209363685"/>
    <n v="43.298956263759379"/>
    <n v="33.296601799969601"/>
    <n v="84.860949581189189"/>
    <n v="-84.81468202159877"/>
    <n v="1.0371422086443221"/>
    <n v="81.602622234827123"/>
    <n v="65.172734535475357"/>
    <n v="22.266667048136394"/>
    <n v="23.671249866485596"/>
    <n v="23.938999748229982"/>
    <n v="0.97996692229613103"/>
    <n v="23.779704036712648"/>
    <n v="25.898933592822242"/>
    <n v="21.979065903637721"/>
    <n v="-0.20404153032259445"/>
    <n v="-2.180686516804696E-2"/>
    <n v="0.16374400477924525"/>
    <n v="81.901223328627793"/>
    <n v="43.70477601861645"/>
    <n v="4.9622375845465569"/>
    <n v="23.542903715881451"/>
    <n v="-88.595062224159889"/>
    <n v="-76.001171714708491"/>
    <n v="23.249293098056636"/>
    <n v="-8.0859732713504245E-2"/>
    <n v="-74.480242610420547"/>
    <n v="23.488185351035881"/>
    <n v="23.945628504178131"/>
    <n v="-0.1132323686368881"/>
    <n v="24.145822848065258"/>
    <n v="24.834573102005944"/>
    <n v="-0.15455940668285761"/>
    <n v="-63.868761001630943"/>
    <n v="24.147181823243596"/>
    <n v="-0.1226025832775572"/>
    <n v="-0.65763749702937702"/>
    <n v="-0.44248784202994729"/>
    <n v="-0.21514965499942973"/>
    <n v="-87.708634463385252"/>
    <n v="-4.280909564880746"/>
    <n v="15499588.888888888"/>
    <n v="13308765"/>
    <n v="11317839"/>
    <n v="0.80118325719033412"/>
    <n v="1.097685247278767"/>
    <n v="23.783781554595887"/>
    <n v="18.745074443521162"/>
    <n v="18.745074443521162"/>
    <n v="24.819341930657004"/>
    <n v="-87.782088467164513"/>
    <n v="79.6264812161576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1"/>
    <s v="CDL3INSIDE_Bull"/>
    <n v="1"/>
  </r>
  <r>
    <d v="2021-10-22T00:00:00"/>
    <n v="23.610000610351563"/>
    <n v="22.450000762939453"/>
    <n v="23.600000381469727"/>
    <n v="23.139999389648438"/>
    <n v="10917700"/>
    <n v="23.139999389648438"/>
    <n v="23.840000152587891"/>
    <n v="-2.9362447921942092E-2"/>
    <n v="-2.9802153208589623E-2"/>
    <n v="0.46000099182128906"/>
    <n v="0.68999862670898438"/>
    <n v="1.0000228881835938E-2"/>
    <n v="1.9683397264607407E-2"/>
    <n v="1.4999937803983032"/>
    <n v="2.1739581130557732E-2"/>
    <n v="0.29631892045047775"/>
    <n v="0.21372040816074755"/>
    <n v="-4.8090299082531818E-2"/>
    <n v="-86.045573726746795"/>
    <n v="-82.049820968587795"/>
    <n v="-68.774443317594759"/>
    <n v="-75.536777890875456"/>
    <n v="-1.4800014495849609"/>
    <n v="-0.61444452073838973"/>
    <n v="-10917700"/>
    <n v="70098400"/>
    <n v="-87.353946290844334"/>
    <n v="-54.345413284517349"/>
    <n v="15.681013709919029"/>
    <n v="86.343506252214794"/>
    <n v="-32.921880208276619"/>
    <n v="0.80428532191685265"/>
    <n v="82.183811731226825"/>
    <n v="67.056387264494631"/>
    <n v="23.640000025431316"/>
    <n v="24.297500133514404"/>
    <n v="24.730000209808349"/>
    <n v="0.69715221278397066"/>
    <n v="23.760885715484619"/>
    <n v="26.124304635376291"/>
    <n v="23.335695784240407"/>
    <n v="-0.1289673865360112"/>
    <n v="-8.4570613549589564E-3"/>
    <n v="0.11276218469379036"/>
    <n v="75.361725833730432"/>
    <n v="66.023754973669313"/>
    <n v="5.2203331996280582"/>
    <n v="24.920638653646179"/>
    <n v="-88.244383735226648"/>
    <n v="-63.559803907919701"/>
    <n v="24.13696320358396"/>
    <n v="-4.3084003467239042E-2"/>
    <n v="-73.075683314032162"/>
    <n v="24.287675955063889"/>
    <n v="24.570508671375233"/>
    <n v="-6.1819763157242198E-2"/>
    <n v="24.658091192465228"/>
    <n v="24.791763119593739"/>
    <n v="-7.1381321240838472E-2"/>
    <n v="-51.751114641576422"/>
    <n v="23.946806495816578"/>
    <n v="-3.4866340857772939E-2"/>
    <n v="-0.37041523740133897"/>
    <n v="-0.21375126743820544"/>
    <n v="-0.15666396996313353"/>
    <n v="-84.028812761505179"/>
    <n v="57.375725560082358"/>
    <n v="6810066.666666667"/>
    <n v="5779460"/>
    <n v="7580322.5"/>
    <n v="0.60317079617429092"/>
    <n v="0.8890519183453125"/>
    <n v="23.076878913972191"/>
    <n v="21.671361746769914"/>
    <n v="21.671361746769914"/>
    <n v="22.553300995704578"/>
    <n v="-87.05585604720423"/>
    <n v="-57.96346739866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2"/>
    <s v="CDLSHORTLINE_Bear"/>
    <n v="-1"/>
  </r>
  <r>
    <d v="2021-10-22T00:00:00"/>
    <n v="21.979999542236328"/>
    <n v="20.559999465942383"/>
    <n v="20.569999694824219"/>
    <n v="21.569999694824219"/>
    <n v="9593000"/>
    <n v="21.569999694824219"/>
    <n v="21.370000839233398"/>
    <n v="9.3588604462588876E-3"/>
    <n v="9.3153376502832924E-3"/>
    <n v="1"/>
    <n v="1.0000228881835938E-2"/>
    <n v="0.40999984741210938"/>
    <n v="4.746084549045565E-2"/>
    <n v="1.0000228881835938E-2"/>
    <n v="0.40999984741210938"/>
    <n v="0.32547906152374906"/>
    <n v="0.33062669881699863"/>
    <n v="-6.7229612704503602E-2"/>
    <n v="-86.17323883053281"/>
    <n v="-81.773661316520176"/>
    <n v="-72.961161164200661"/>
    <n v="-81.926087135514194"/>
    <n v="-1.6499996185302734"/>
    <n v="-0.91666645473904085"/>
    <n v="9593000"/>
    <n v="53790700"/>
    <n v="-82.837872208138222"/>
    <n v="82.184065541194727"/>
    <n v="36.886765925576142"/>
    <n v="86.577384866338491"/>
    <n v="84.992439079211678"/>
    <n v="0.85499967847551617"/>
    <n v="73.661962307238511"/>
    <n v="55.615535019237257"/>
    <n v="21.549999872843426"/>
    <n v="22.254999876022339"/>
    <n v="22.939999866485596"/>
    <n v="1.0581213267654737"/>
    <n v="25.365644674301148"/>
    <n v="25.056242520016543"/>
    <n v="20.82375721295465"/>
    <n v="-0.16162461170682621"/>
    <n v="3.4596313974386922E-2"/>
    <n v="0.18450241201811779"/>
    <n v="-84.787271854785828"/>
    <n v="-55.061578255723148"/>
    <n v="28.833957076780379"/>
    <n v="30.989761728759532"/>
    <n v="-86.196787157845662"/>
    <n v="79.875430727141307"/>
    <n v="22.177383619373131"/>
    <n v="-2.8158735889767118E-2"/>
    <n v="-80.974573616996622"/>
    <n v="22.399763786000296"/>
    <n v="23.005341188431398"/>
    <n v="-6.6543417427659651E-2"/>
    <n v="23.284210480337737"/>
    <n v="24.163808127865554"/>
    <n v="-0.12025074036805512"/>
    <n v="-82.472091159617946"/>
    <n v="24.994766910308957"/>
    <n v="-0.15877456021969816"/>
    <n v="-0.88444669433744139"/>
    <n v="-0.81229261594244939"/>
    <n v="-7.2154078394991994E-2"/>
    <n v="-83.993478552488824"/>
    <n v="85.735576704385238"/>
    <n v="6195822.222222222"/>
    <n v="6509220"/>
    <n v="5676981.5"/>
    <n v="0.54830136436021415"/>
    <n v="0.4737556880855156"/>
    <n v="34.006727736048745"/>
    <n v="19.386560457222199"/>
    <n v="19.386560457222199"/>
    <n v="16.970961229682697"/>
    <n v="-85.720038101392873"/>
    <n v="82.3839018199501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3"/>
    <s v="CDLRICKSHAWMAN_Bull"/>
    <n v="1"/>
  </r>
  <r>
    <d v="2021-10-22T00:00:00"/>
    <n v="25.670000076293945"/>
    <n v="24.399999618530273"/>
    <n v="25.120000839233398"/>
    <n v="25.120000839233398"/>
    <n v="10490800"/>
    <n v="25.120000839233398"/>
    <n v="25.290000915527344"/>
    <n v="-6.7220272890370358E-3"/>
    <n v="-6.7447218740632224E-3"/>
    <n v="0"/>
    <n v="0.720001220703125"/>
    <n v="0.54999923706054688"/>
    <n v="0"/>
    <m/>
    <m/>
    <n v="0.32271192727061232"/>
    <n v="0.37528866457397769"/>
    <n v="-2.3215610659051027E-2"/>
    <n v="-82.011147030490477"/>
    <n v="-79.20186924570541"/>
    <n v="-35.233251008062965"/>
    <n v="64.167807235129402"/>
    <n v="-1.029998779296875"/>
    <n v="0.64777819315592444"/>
    <n v="-10490800"/>
    <n v="1055477100"/>
    <n v="-74.134784183950543"/>
    <n v="-33.402085785233915"/>
    <n v="40.809312309403644"/>
    <n v="-87.351447009176596"/>
    <n v="80.182479440568613"/>
    <n v="0.90357140132359093"/>
    <n v="65.184988633326654"/>
    <n v="59.905487374719101"/>
    <n v="25.383333841959637"/>
    <n v="26.321250200271606"/>
    <n v="25.748500061035156"/>
    <n v="1.1111504922758992"/>
    <n v="17.762055883407594"/>
    <n v="27.970801045586953"/>
    <n v="23.526199076483358"/>
    <n v="-0.11348726556971539"/>
    <n v="6.3447520282753259E-2"/>
    <n v="0.17261595660205264"/>
    <n v="-87.058125560217164"/>
    <n v="-79.261748870408653"/>
    <n v="11.638371872996316"/>
    <n v="47.088990178764455"/>
    <n v="-87.99509708358292"/>
    <n v="-87.238568626195573"/>
    <n v="25.856194003764443"/>
    <n v="-2.9307051749028194E-2"/>
    <n v="31.578029543291773"/>
    <n v="25.789494582544997"/>
    <n v="25.177675837049598"/>
    <n v="-2.2959791357220348E-3"/>
    <n v="24.770182631320644"/>
    <n v="23.103879683267067"/>
    <n v="8.0259597476504643E-2"/>
    <n v="79.358827939599692"/>
    <n v="18.702998782573399"/>
    <n v="0.25545389499500631"/>
    <n v="1.0193119512243527"/>
    <n v="1.3525110032402072"/>
    <n v="-0.33319905201585454"/>
    <n v="-88.649264583057061"/>
    <n v="-87.662594634235163"/>
    <n v="7391744.444444444"/>
    <n v="8178500"/>
    <n v="8978624.5"/>
    <n v="0.41925902320456609"/>
    <n v="0.2827291068044262"/>
    <n v="19.672165320231343"/>
    <n v="22.734427220875819"/>
    <n v="22.734427220875819"/>
    <n v="33.575971189634906"/>
    <n v="-88.46295016265681"/>
    <n v="-84.606704407126571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34"/>
    <s v="CDLBELTHOLD_Bull"/>
    <n v="1"/>
  </r>
  <r>
    <d v="2021-10-22T00:00:00"/>
    <n v="14.600000381469727"/>
    <n v="13.770000457763672"/>
    <n v="14.050000190734863"/>
    <n v="14.350000381469727"/>
    <n v="36461100"/>
    <n v="14.350000381469727"/>
    <n v="14.159999847412109"/>
    <n v="1.3418116956571913E-2"/>
    <n v="1.3328891299293226E-2"/>
    <n v="0.30000019073486328"/>
    <n v="0.27999973297119141"/>
    <n v="0.25"/>
    <n v="2.1126773569749638E-2"/>
    <n v="0.93333184984089546"/>
    <n v="0.83333280351460548"/>
    <n v="0.49829888808786538"/>
    <n v="0.64793693493943583"/>
    <n v="-9.4359461213560356E-2"/>
    <n v="-85.113140729390111"/>
    <n v="-82.367630301703926"/>
    <n v="-69.617659971544469"/>
    <n v="-47.853416673819218"/>
    <n v="-2.1999988555908203"/>
    <n v="-0.28888882531060112"/>
    <n v="36461100"/>
    <n v="474560500"/>
    <n v="-81.820658749921208"/>
    <n v="-79.299312913301293"/>
    <n v="17.979071349448073"/>
    <n v="78.745985772069332"/>
    <n v="-81.482988526953008"/>
    <n v="0.82500014986310688"/>
    <n v="-17.773458698554403"/>
    <n v="-75.000634969871228"/>
    <n v="14.506666819254557"/>
    <n v="15.546250104904175"/>
    <n v="15.832000160217286"/>
    <n v="0.73686826917117509"/>
    <n v="17.003377866744994"/>
    <n v="17.305736698559635"/>
    <n v="14.358263621874935"/>
    <n v="-0.20597465076772226"/>
    <n v="-5.7583555299960023E-4"/>
    <n v="0.18617187006422109"/>
    <n v="-66.629175955807753"/>
    <n v="-67.318306593160671"/>
    <n v="18.872027551261681"/>
    <n v="34.121270286701844"/>
    <n v="-88.073076154598581"/>
    <n v="-83.605540169050187"/>
    <n v="15.29577208324563"/>
    <n v="-6.5907433911791838E-2"/>
    <n v="-67.851639959130836"/>
    <n v="15.441387195968744"/>
    <n v="15.665006603145441"/>
    <n v="-9.1638061792234715E-2"/>
    <n v="15.768515966399645"/>
    <n v="16.273880180966874"/>
    <n v="-0.13406827514663128"/>
    <n v="-36.958910415927377"/>
    <n v="16.094566018000993"/>
    <n v="-0.12157251499338205"/>
    <n v="-0.32712877043090138"/>
    <n v="-0.16128951288879434"/>
    <n v="-0.16583925754210704"/>
    <n v="-88.4325139500136"/>
    <n v="-85.593591556776147"/>
    <n v="25014855.555555556"/>
    <n v="26100125"/>
    <n v="22036794"/>
    <n v="0.45757787483615298"/>
    <n v="0.39697032102336682"/>
    <n v="16.111107284640493"/>
    <n v="11.097873885536467"/>
    <n v="11.097873885536467"/>
    <n v="17.745028001983496"/>
    <n v="-88.620699530473729"/>
    <n v="-85.9437962151070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5"/>
    <s v="CDLBELTHOLD_Bear"/>
    <n v="-1"/>
  </r>
  <r>
    <d v="2021-10-22T00:00:00"/>
    <n v="25.940000534057617"/>
    <n v="24.409999847412109"/>
    <n v="25.350000381469727"/>
    <n v="25.620000839233398"/>
    <n v="6408100"/>
    <n v="25.620000839233398"/>
    <n v="25.540000915527344"/>
    <n v="3.1323383256973703E-3"/>
    <n v="3.1274427743554034E-3"/>
    <n v="0.27000045776367188"/>
    <n v="0.94000053405761719"/>
    <n v="0.31999969482421875"/>
    <n v="1.0594485042076177E-2"/>
    <n v="3.4814775569024712"/>
    <n v="1.1851820455219768"/>
    <n v="0.34036436647295787"/>
    <n v="0.36921089555296971"/>
    <n v="3.7785395591705573E-2"/>
    <n v="-60.545886853509487"/>
    <n v="-8.1543257202424968"/>
    <n v="52.909142643803449"/>
    <n v="-17.630603503166153"/>
    <n v="0.27000045776367188"/>
    <n v="0.60888926188151038"/>
    <n v="6408100"/>
    <n v="-86015277"/>
    <n v="72.503823640260237"/>
    <n v="-20.332054313427836"/>
    <n v="24.079374627689827"/>
    <n v="-69.4760684921538"/>
    <n v="-81.205486196839331"/>
    <n v="0.95071452004568913"/>
    <n v="65.131182361443592"/>
    <n v="22.635987246626875"/>
    <n v="25.806667327880859"/>
    <n v="26.003750324249268"/>
    <n v="25.777000045776369"/>
    <n v="0.78562150797315533"/>
    <n v="32.458129625320431"/>
    <n v="27.34824306172268"/>
    <n v="24.205757029830057"/>
    <n v="-6.7456759011604875E-2"/>
    <n v="5.5200771392545304E-2"/>
    <n v="0.12191046383644355"/>
    <n v="-77.576451711392139"/>
    <n v="-74.383423141918868"/>
    <n v="41.591323422044162"/>
    <n v="44.960547851453185"/>
    <n v="-81.722139164693587"/>
    <n v="85.171846784818356"/>
    <n v="25.804889756501584"/>
    <n v="-7.2165851370720735E-3"/>
    <n v="35.948119133977066"/>
    <n v="25.849881133171642"/>
    <n v="26.155124012493037"/>
    <n v="-2.0886930356386755E-2"/>
    <n v="26.375674853053905"/>
    <n v="27.488882688901384"/>
    <n v="-7.2946205638137931E-2"/>
    <n v="-56.463413090468698"/>
    <n v="32.06421159783136"/>
    <n v="-0.25153046633509729"/>
    <n v="-0.52579371988226242"/>
    <n v="-0.67442146674748815"/>
    <n v="0.14862774686522573"/>
    <n v="-60.319002813178507"/>
    <n v="79.020892504721388"/>
    <n v="3596766.6666666665"/>
    <n v="4107560"/>
    <n v="3336510.9350000001"/>
    <n v="0.78162794361602561"/>
    <n v="0.56007459416295813"/>
    <n v="57.976682863039834"/>
    <n v="65.239965831020882"/>
    <n v="65.239965831020882"/>
    <n v="65.829102287887309"/>
    <n v="82.514574235446247"/>
    <n v="86.94236839860254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36"/>
    <s v="CDLBELTHOLD_Bear"/>
    <n v="-1"/>
  </r>
  <r>
    <d v="2021-10-22T00:00:00"/>
    <n v="7.5799999237060547"/>
    <n v="6.880000114440918"/>
    <n v="7.5799999237060547"/>
    <n v="7.179999828338623"/>
    <n v="66616100"/>
    <n v="7.179999828338623"/>
    <n v="7.6399998664855957"/>
    <n v="-6.0209430129031238E-2"/>
    <n v="-6.2098226550858816E-2"/>
    <n v="0.40000009536743164"/>
    <n v="0.29999971389770508"/>
    <n v="0"/>
    <n v="5.4200555838359046E-2"/>
    <n v="0.74999910593054153"/>
    <n v="0"/>
    <n v="0.38207925218095395"/>
    <n v="0.46306570840565187"/>
    <n v="-9.4296758783942308E-2"/>
    <n v="-85.323356686701146"/>
    <n v="-79.198854078480593"/>
    <n v="-42.283097827604472"/>
    <n v="-41.966360717670334"/>
    <n v="-1.2300000190734863"/>
    <n v="3.1111240386962891E-2"/>
    <n v="-66616100"/>
    <n v="-632704900"/>
    <n v="-87.443437918414872"/>
    <n v="-75.182701692665702"/>
    <n v="29.705637832721404"/>
    <n v="-81.117488793113154"/>
    <n v="-86.531276702175717"/>
    <n v="0.37071425574166433"/>
    <n v="76.794500894774586"/>
    <n v="69.920851525245169"/>
    <n v="7.6299997965494795"/>
    <n v="8.1399999856948853"/>
    <n v="8.1864999532699585"/>
    <n v="0.35690594993676128"/>
    <n v="9.6614500164985664"/>
    <n v="8.9003118531434815"/>
    <n v="7.4726880533964355"/>
    <n v="-0.23959778077082777"/>
    <n v="-4.0764377723604688E-2"/>
    <n v="0.17438756585795934"/>
    <n v="79.162570393586208"/>
    <n v="38.255433173895248"/>
    <n v="5.8090731917313434"/>
    <n v="24.621150247728295"/>
    <n v="-88.951749913287941"/>
    <n v="72.737637525880118"/>
    <n v="7.9629358300952955"/>
    <n v="-0.10904401399377689"/>
    <n v="-44.315812011692572"/>
    <n v="8.0426015400013409"/>
    <n v="8.2072226537600539"/>
    <n v="-0.14306724930091252"/>
    <n v="8.2910077719101078"/>
    <n v="8.6763370770579655"/>
    <n v="-0.20840352151729497"/>
    <n v="-48.56986684090333"/>
    <n v="9.664754720425405"/>
    <n v="-0.34606614923300466"/>
    <n v="-0.24840623190876698"/>
    <n v="-0.19035113497412476"/>
    <n v="-5.8055096934642225E-2"/>
    <n v="-86.087336972846458"/>
    <n v="43.894407505238618"/>
    <n v="23666622.222222224"/>
    <n v="19735965"/>
    <n v="16315611"/>
    <n v="1.8147700746855859"/>
    <n v="2.3753657345865782"/>
    <n v="16.129019853349472"/>
    <n v="19.634781340555545"/>
    <n v="19.634781340555545"/>
    <n v="34.463371005602056"/>
    <n v="-88.921762958981233"/>
    <n v="87.4824795828868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7"/>
    <s v="CDLSHOOTINGSTAR_Bear"/>
    <n v="-1"/>
  </r>
  <r>
    <d v="2021-10-22T00:00:00"/>
    <n v="25.809999465942383"/>
    <n v="24.520000457763672"/>
    <n v="24.959999084472656"/>
    <n v="25.090000152587891"/>
    <n v="14957900"/>
    <n v="25.090000152587891"/>
    <n v="25.069999694824219"/>
    <n v="7.9778452361933816E-4"/>
    <n v="7.9746646269775396E-4"/>
    <n v="0.13000106811523438"/>
    <n v="0.43999862670898438"/>
    <n v="0.71999931335449219"/>
    <n v="5.1948479559205439E-3"/>
    <n v="3.3845770122362744"/>
    <n v="5.5384107514891872"/>
    <n v="0.51213400794316988"/>
    <n v="0.47425802687358032"/>
    <n v="-9.062510865103339E-2"/>
    <n v="-73.16310587932351"/>
    <n v="-75.990087375628676"/>
    <n v="-67.250890354056153"/>
    <n v="-62.937629851161994"/>
    <n v="-3.2299995422363281"/>
    <n v="-1.6122218237982855"/>
    <n v="14957900"/>
    <n v="380552200"/>
    <n v="-76.483672876486835"/>
    <n v="-73.714301675776014"/>
    <n v="33.629356198936343"/>
    <n v="75.511940445168051"/>
    <n v="-75.805870890032466"/>
    <n v="1.1950002397809709"/>
    <n v="-68.108454329858645"/>
    <n v="-81.422812464685066"/>
    <n v="25.260000228881836"/>
    <n v="26.255000114440918"/>
    <n v="27.491499996185304"/>
    <n v="1.3436957362137349"/>
    <n v="38.100972080230711"/>
    <n v="30.178891468612775"/>
    <n v="24.804108523757833"/>
    <n v="-0.20282547967621253"/>
    <n v="1.1394644363944717E-2"/>
    <n v="0.19550708202901779"/>
    <n v="81.445617951002873"/>
    <n v="-79.442729647459245"/>
    <n v="10.874187612792994"/>
    <n v="25.774330173803151"/>
    <n v="-83.786104528756354"/>
    <n v="-76.199419283453366"/>
    <n v="26.230605349269744"/>
    <n v="-4.5460549611204638E-2"/>
    <n v="-70.254756579488983"/>
    <n v="26.618608089133271"/>
    <n v="27.807446082187585"/>
    <n v="-0.10830792798219276"/>
    <n v="28.508355058395519"/>
    <n v="31.609522611573816"/>
    <n v="-0.25984545314215446"/>
    <n v="-72.216717950622026"/>
    <n v="34.381147837031136"/>
    <n v="-0.37031277911271421"/>
    <n v="-1.8897469692622479"/>
    <n v="-1.9269552123520179"/>
    <n v="3.7208243089769999E-2"/>
    <n v="-84.514868772734218"/>
    <n v="-60.066701560383734"/>
    <n v="12426277.777777778"/>
    <n v="13157940"/>
    <n v="13548771.5"/>
    <n v="0.20373133994715498"/>
    <n v="0.13679648942007638"/>
    <n v="18.843285706558717"/>
    <n v="15.426324952686755"/>
    <n v="15.426324952686755"/>
    <n v="10.970836535288923"/>
    <n v="-81.03892298800389"/>
    <n v="-57.5065330150801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8"/>
    <s v="CDLLONGLINE_Bear"/>
    <n v="-1"/>
  </r>
  <r>
    <d v="2021-10-22T00:00:00"/>
    <n v="28.700000762939453"/>
    <n v="27.540000915527344"/>
    <n v="27.979999542236328"/>
    <n v="27.959999084472656"/>
    <n v="10602300"/>
    <n v="27.959999084472656"/>
    <n v="28.549999237060547"/>
    <n v="-2.0665505021170594E-2"/>
    <n v="-2.0882024757669405E-2"/>
    <n v="2.0000457763671875E-2"/>
    <n v="0.4199981689453125"/>
    <n v="0.720001220703125"/>
    <n v="7.1506822505077795E-4"/>
    <n v="20.999427808506582"/>
    <n v="35.999237078008775"/>
    <n v="0.3264377663108351"/>
    <n v="0.29687917648923828"/>
    <n v="-4.4420678840979617E-2"/>
    <n v="-86.847314675133902"/>
    <n v="-79.049399008833745"/>
    <n v="-73.129434219583544"/>
    <n v="-81.18389048850031"/>
    <n v="-1.4100017547607422"/>
    <n v="-1.5077779557969835"/>
    <n v="-10602300"/>
    <n v="42255900"/>
    <n v="-84.775540630632108"/>
    <n v="37.270669009306822"/>
    <n v="41.022044001331139"/>
    <n v="-36.739850889576267"/>
    <n v="83.54636875056633"/>
    <n v="1.0064287185668945"/>
    <n v="73.045850834319424"/>
    <n v="33.235302141872083"/>
    <n v="28.606665929158527"/>
    <n v="29.296249628067017"/>
    <n v="30.280520343780516"/>
    <n v="1.3693725400512695"/>
    <n v="33.385220165252683"/>
    <n v="33.019265423883056"/>
    <n v="27.541775263677977"/>
    <n v="-0.18094658458769475"/>
    <n v="1.4957933994602187E-2"/>
    <n v="0.18089154671115587"/>
    <n v="51.233427138325702"/>
    <n v="56.901134459741215"/>
    <n v="13.944136346947801"/>
    <n v="24.873822559633311"/>
    <n v="-87.928582307279953"/>
    <n v="83.744143880217962"/>
    <n v="29.231790203152748"/>
    <n v="-4.5486093001568445E-2"/>
    <n v="-79.156245339386587"/>
    <n v="29.511884810941467"/>
    <n v="30.294491144447942"/>
    <n v="-8.3493996295290515E-2"/>
    <n v="30.673450979621883"/>
    <n v="31.930336538174533"/>
    <n v="-0.14200062888795906"/>
    <n v="-83.649793394377383"/>
    <n v="32.986482062998348"/>
    <n v="-0.17977407521866143"/>
    <n v="-1.161566168680416"/>
    <n v="-1.0930758152685109"/>
    <n v="-6.8490353411905014E-2"/>
    <n v="-78.97448333508423"/>
    <n v="79.805943923588543"/>
    <n v="3874200"/>
    <n v="3754085"/>
    <n v="3128805"/>
    <n v="1.7366424035929997"/>
    <n v="1.8242035009862589"/>
    <n v="9.480774736878363"/>
    <n v="10.491917571437069"/>
    <n v="10.491917571437069"/>
    <n v="13.338973191657999"/>
    <n v="-66.263342591810868"/>
    <n v="62.9684600861304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9"/>
    <s v="NO_PATTERN"/>
    <n v="0"/>
  </r>
  <r>
    <d v="2021-10-22T00:00:00"/>
    <n v="24.5"/>
    <n v="22.200000762939453"/>
    <n v="22.299999237060547"/>
    <n v="24.200000762939453"/>
    <n v="15085300"/>
    <n v="24.200000762939453"/>
    <n v="22.5"/>
    <n v="7.555558946397567E-2"/>
    <n v="7.2837355478689428E-2"/>
    <n v="1.9000015258789063"/>
    <n v="9.999847412109375E-2"/>
    <n v="0.29999923706054688"/>
    <n v="8.1720495736727156E-2"/>
    <n v="5.2630733585772395E-2"/>
    <n v="0.15789420849110775"/>
    <n v="0.29807266799813481"/>
    <n v="0.3660106641501234"/>
    <n v="7.1504879767969001E-2"/>
    <n v="80.759597253420466"/>
    <n v="46.579682647232495"/>
    <n v="-10.191072859120286"/>
    <n v="-50.680195704360912"/>
    <n v="1.8000011444091797"/>
    <n v="-0.37888844807942706"/>
    <n v="15085300"/>
    <n v="31467200"/>
    <n v="64.008162329208218"/>
    <n v="-68.799802709700714"/>
    <n v="12.862738383776662"/>
    <n v="76.786992860994701"/>
    <n v="-62.76668193176171"/>
    <n v="0.80857140677315853"/>
    <n v="67.264328460330688"/>
    <n v="-38.998638679064548"/>
    <n v="23.090000152587891"/>
    <n v="22.96750020980835"/>
    <n v="23.193999958038329"/>
    <n v="0.58651859317442001"/>
    <n v="26.791950006484985"/>
    <n v="24.367037144387169"/>
    <n v="22.02096277168949"/>
    <n v="-6.902329594283307E-3"/>
    <n v="9.0042889361681422E-2"/>
    <n v="0.10115005505484626"/>
    <n v="65.701084054675704"/>
    <n v="-77.226604981245217"/>
    <n v="85.572601921579917"/>
    <n v="61.735005084598626"/>
    <n v="87.796023465872779"/>
    <n v="79.810645482778369"/>
    <n v="23.059817838623765"/>
    <n v="4.7114995387181793E-2"/>
    <n v="-35.727358022940024"/>
    <n v="23.081698886343627"/>
    <n v="23.296302565831429"/>
    <n v="3.7342899529655089E-2"/>
    <n v="23.439436827871347"/>
    <n v="24.048909886112462"/>
    <n v="6.2434244654395272E-3"/>
    <n v="-66.856940192900666"/>
    <n v="25.322455197497511"/>
    <n v="-4.6382413188887826E-2"/>
    <n v="-0.35773794152771998"/>
    <n v="-0.47803271117558099"/>
    <n v="0.12029476964786101"/>
    <n v="78.801028996070883"/>
    <n v="62.457117075806188"/>
    <n v="6580744.444444444"/>
    <n v="7196365"/>
    <n v="6675554"/>
    <n v="1.2923394347481798"/>
    <n v="1.0962388650381132"/>
    <n v="88.281277357606342"/>
    <n v="42.633626981275007"/>
    <n v="42.633626981275007"/>
    <n v="25.645819929767168"/>
    <n v="-84.229536785584529"/>
    <n v="-70.986763937655198"/>
    <n v="0"/>
    <n v="1"/>
    <n v="1"/>
    <n v="0"/>
    <n v="1"/>
    <n v="1"/>
    <n v="0"/>
    <n v="0"/>
    <n v="0"/>
    <n v="0"/>
    <n v="1"/>
    <n v="1"/>
    <n v="0"/>
    <n v="0"/>
    <n v="0"/>
    <n v="0"/>
    <n v="0"/>
    <n v="0"/>
    <n v="0"/>
    <n v="0"/>
    <n v="0"/>
    <n v="0"/>
    <x v="40"/>
    <s v="CDLHIKKAKE_Bull"/>
    <n v="1"/>
  </r>
  <r>
    <d v="2021-10-22T00:00:00"/>
    <n v="26.860000610351563"/>
    <n v="24.149999618530273"/>
    <n v="26.120000839233398"/>
    <n v="26.479999542236328"/>
    <n v="39738900"/>
    <n v="26.479999542236328"/>
    <n v="26.290000915527344"/>
    <n v="7.2270300529646558E-3"/>
    <n v="7.2010402157036014E-3"/>
    <n v="0.35999870300292969"/>
    <n v="1.970001220703125"/>
    <n v="0.38000106811523438"/>
    <n v="1.3688163513008353E-2"/>
    <n v="5.4722453283035666"/>
    <n v="1.0555623254902169"/>
    <n v="0.59402536556030383"/>
    <n v="0.53228991613727761"/>
    <n v="-8.2738801990553858E-3"/>
    <n v="-72.369706389997134"/>
    <n v="-71.956057618773812"/>
    <n v="28.055691093033651"/>
    <n v="76.488165548771804"/>
    <n v="-0.54000091552734375"/>
    <n v="1.7566666073269315"/>
    <n v="39738900"/>
    <n v="1177058000"/>
    <n v="-26.747594627246901"/>
    <n v="46.214689949505839"/>
    <n v="31.228627474170249"/>
    <n v="-81.974378696940207"/>
    <n v="80.068438991244221"/>
    <n v="1.5"/>
    <n v="-68.884367804797435"/>
    <n v="-79.046688439249422"/>
    <n v="26.543333689371746"/>
    <n v="27.050000190734863"/>
    <n v="25.883500289916991"/>
    <n v="1.8934354069694179"/>
    <n v="18.955950026512145"/>
    <n v="29.670371103855828"/>
    <n v="22.096629475978155"/>
    <n v="-0.12048231181162861"/>
    <n v="0.1655351262097485"/>
    <n v="0.29260886445207918"/>
    <n v="-85.027322690751276"/>
    <n v="-68.405053589395877"/>
    <n v="35.592578772640778"/>
    <n v="57.84823330843907"/>
    <n v="-85.381320500817822"/>
    <n v="-84.286138461998021"/>
    <n v="26.67298441814161"/>
    <n v="-7.2879486118368501E-3"/>
    <n v="61.034440515318259"/>
    <n v="26.450585855113694"/>
    <n v="25.445996002353002"/>
    <n v="3.904847272501126E-2"/>
    <n v="24.889292387554384"/>
    <n v="22.979757669192793"/>
    <n v="0.13218436304957457"/>
    <n v="79.210227243522453"/>
    <n v="18.522758758038478"/>
    <n v="0.30050003480951093"/>
    <n v="1.5612934675593095"/>
    <n v="1.8076151178004387"/>
    <n v="-0.24632165024112918"/>
    <n v="-88.364301331537419"/>
    <n v="-87.722486207344431"/>
    <n v="27460100"/>
    <n v="29274605"/>
    <n v="22814651"/>
    <n v="0.44715059304226856"/>
    <n v="0.35745298698308647"/>
    <n v="48.846953880554402"/>
    <n v="47.824566145375314"/>
    <n v="47.824566145375314"/>
    <n v="57.318309653732484"/>
    <n v="-88.294922997490715"/>
    <n v="-84.353905546872326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41"/>
    <s v="NO_PATTERN"/>
    <n v="0"/>
  </r>
  <r>
    <d v="2021-10-22T00:00:00"/>
    <n v="27.409999847412109"/>
    <n v="25.899999618530273"/>
    <n v="27.049999237060547"/>
    <n v="26.309999465942383"/>
    <n v="5651800"/>
    <n v="26.309999465942383"/>
    <n v="27.559999465942383"/>
    <n v="-4.5355588687318482E-2"/>
    <n v="-4.6416352013913906E-2"/>
    <n v="0.73999977111816406"/>
    <n v="0.40999984741210938"/>
    <n v="0.3600006103515625"/>
    <n v="2.7736124029422785E-2"/>
    <n v="0.55405401922298714"/>
    <n v="0.48648746175635932"/>
    <n v="0.88338017339619457"/>
    <n v="0.72380719138500549"/>
    <n v="5.1073249885345527E-2"/>
    <n v="-74.407026239459285"/>
    <n v="8.0831341845383129"/>
    <n v="61.351263733507338"/>
    <n v="41.247204182000722"/>
    <n v="1.7099990844726563"/>
    <n v="2.9811106787787542"/>
    <n v="-5651800"/>
    <n v="36086367"/>
    <n v="-75.805184020693929"/>
    <n v="59.530085561468134"/>
    <n v="23.386777046699528"/>
    <n v="-83.031867193321872"/>
    <n v="-77.420459106623895"/>
    <n v="1.7999999182564872"/>
    <n v="41.870402765976067"/>
    <n v="73.782704786960792"/>
    <n v="27.566666285196941"/>
    <n v="28.344999551773071"/>
    <n v="26.638499736785889"/>
    <n v="1.815993812350313"/>
    <n v="28.05852186203003"/>
    <n v="30.270487361486516"/>
    <n v="23.006512112085261"/>
    <n v="-0.15053166005080629"/>
    <n v="0.12556014522666187"/>
    <n v="0.27268710029379839"/>
    <n v="26.753875918184256"/>
    <n v="39.858345250969307"/>
    <n v="19.195231694270177"/>
    <n v="44.762650710075683"/>
    <n v="-87.189935261671948"/>
    <n v="83.261738328762775"/>
    <n v="27.581219301316121"/>
    <n v="-4.8316984461337593E-2"/>
    <n v="60.701548060571227"/>
    <n v="27.436563454822554"/>
    <n v="27.230104187486539"/>
    <n v="-3.497167389665698E-2"/>
    <n v="27.276607411299729"/>
    <n v="28.185303623742893"/>
    <n v="-7.1277240435829101E-2"/>
    <n v="-10.422554830555349"/>
    <n v="28.62936536564489"/>
    <n v="-8.8155300143767282E-2"/>
    <n v="0.15995604352282555"/>
    <n v="-8.2446108687600994E-2"/>
    <n v="0.24240215221042655"/>
    <n v="-79.239595362067519"/>
    <n v="69.831958831559263"/>
    <n v="7699877.777777778"/>
    <n v="5629105"/>
    <n v="7631333.4299999997"/>
    <n v="-0.26598834902141311"/>
    <n v="4.0317244037906264E-3"/>
    <n v="28.615686602137334"/>
    <n v="41.597781433091335"/>
    <n v="41.597781433091335"/>
    <n v="48.966927293851569"/>
    <n v="-87.53800598269045"/>
    <n v="85.54711269207516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42"/>
    <s v="CDLSPINNINGTOP_Bear"/>
    <n v="-1"/>
  </r>
  <r>
    <d v="2021-10-22T00:00:00"/>
    <n v="21.180000305175781"/>
    <n v="19.530000686645508"/>
    <n v="20.719999313354492"/>
    <n v="20.920000076293945"/>
    <n v="19968100"/>
    <n v="20.920000076293945"/>
    <n v="21.290000915527344"/>
    <n v="-1.7379089869533404E-2"/>
    <n v="-1.7531879064420365E-2"/>
    <n v="0.20000076293945313"/>
    <n v="1.1899986267089844"/>
    <n v="0.26000022888183594"/>
    <n v="9.6061847200301659E-3"/>
    <n v="5.949970436208968"/>
    <n v="1.2999961853172863"/>
    <n v="0.37069163532735899"/>
    <n v="0.30132879477097685"/>
    <n v="-0.10301553145343118"/>
    <n v="-86.528768077274606"/>
    <n v="-82.993280136435729"/>
    <n v="-75.32224730537267"/>
    <n v="-65.931867609693839"/>
    <n v="-2.4500007629394531"/>
    <n v="-0.58000034756130647"/>
    <n v="-19968100"/>
    <n v="121452600"/>
    <n v="-86.995823115168804"/>
    <n v="-77.854522142652286"/>
    <n v="21.774700923344348"/>
    <n v="87.070662325194647"/>
    <n v="59.409746462026845"/>
    <n v="0.88000011444091797"/>
    <n v="85.321826982235478"/>
    <n v="66.477972784202009"/>
    <n v="21.456666946411133"/>
    <n v="22.556250095367432"/>
    <n v="22.953500175476073"/>
    <n v="0.7458395391842787"/>
    <n v="22.77029170036316"/>
    <n v="24.445179253844628"/>
    <n v="21.461821097107517"/>
    <n v="-0.16850760825499869"/>
    <n v="-2.5899666292427539E-2"/>
    <n v="0.12997399672946544"/>
    <n v="85.278556084069081"/>
    <n v="-8.82898082078969"/>
    <n v="3.8525017321932893"/>
    <n v="24.680245591643683"/>
    <n v="-88.738680004281122"/>
    <n v="-85.189478629811617"/>
    <n v="22.266687216187051"/>
    <n v="-6.4373190008691281E-2"/>
    <n v="-73.143258810599619"/>
    <n v="22.453810202135504"/>
    <n v="22.726052384601747"/>
    <n v="-8.6331371975202714E-2"/>
    <n v="22.811687952021899"/>
    <n v="23.108056501041553"/>
    <n v="-0.10459160692007174"/>
    <n v="-34.62292394514278"/>
    <n v="22.513029097507932"/>
    <n v="-7.6148614503074016E-2"/>
    <n v="-0.35787774988639498"/>
    <n v="-0.11535405520104289"/>
    <n v="-0.24252369468535209"/>
    <n v="-87.945391692711354"/>
    <n v="-81.674583252522226"/>
    <n v="9231033.333333334"/>
    <n v="8418130"/>
    <n v="10349704"/>
    <n v="1.1631489432385682"/>
    <n v="1.3720351194386402"/>
    <n v="31.735151963023558"/>
    <n v="19.571458383536562"/>
    <n v="19.571458383536562"/>
    <n v="21.281739024079343"/>
    <n v="-88.841089364075742"/>
    <n v="-76.190387950200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3"/>
    <s v="CDL3INSIDE_Bull"/>
    <n v="1"/>
  </r>
  <r>
    <d v="2021-10-22T00:00:00"/>
    <n v="17.389999389648438"/>
    <n v="15.920000076293945"/>
    <n v="17.340000152587891"/>
    <n v="17.100000381469727"/>
    <n v="15608900"/>
    <n v="17.100000381469727"/>
    <n v="17.649999618530273"/>
    <n v="-3.1161430535279866E-2"/>
    <n v="-3.1657275949504841E-2"/>
    <n v="0.23999977111816406"/>
    <n v="1.1800003051757813"/>
    <n v="4.9999237060546875E-2"/>
    <n v="1.3937268722213229E-2"/>
    <n v="4.9166726271368288"/>
    <n v="0.2083303530982524"/>
    <n v="0.56783640449183381"/>
    <n v="0.6523949943830083"/>
    <n v="-0.14761302768769138"/>
    <n v="-82.900976875634569"/>
    <n v="-76.328581789727167"/>
    <n v="-70.636456333823872"/>
    <n v="-73.642468439628885"/>
    <n v="-3.1999988555908203"/>
    <n v="-2.2477775149875217"/>
    <n v="-15608900"/>
    <n v="102851268"/>
    <n v="-85.893021590201172"/>
    <n v="-75.710373235995561"/>
    <n v="20.146053762476157"/>
    <n v="83.988451790917765"/>
    <n v="60.743654257402298"/>
    <n v="1.2164288929530553"/>
    <n v="1.0177774980683254E-13"/>
    <n v="-63.750438862139298"/>
    <n v="17.780000050862629"/>
    <n v="19.066249847412109"/>
    <n v="20.590499877929688"/>
    <n v="1.8618594561687711"/>
    <n v="21.6651789188385"/>
    <n v="24.31421879026723"/>
    <n v="16.866780965592145"/>
    <n v="-0.42188410806207532"/>
    <n v="1.3638562027770924E-2"/>
    <n v="0.36169291026575612"/>
    <n v="81.615805837770296"/>
    <n v="70.180533747059826"/>
    <n v="5.3876224860566708"/>
    <n v="27.225784993697317"/>
    <n v="-87.257438992768513"/>
    <n v="-80.015190919037465"/>
    <n v="18.895526471152017"/>
    <n v="-0.10500152337002271"/>
    <n v="-70.549175425508608"/>
    <n v="19.265889791248927"/>
    <n v="19.953373679308974"/>
    <n v="-0.16686393182372569"/>
    <n v="20.187197843036358"/>
    <n v="20.932271060808969"/>
    <n v="-0.22410939145311659"/>
    <n v="-48.506548704773593"/>
    <n v="21.700985992031725"/>
    <n v="-0.26906347999546354"/>
    <n v="-0.92130805178743103"/>
    <n v="-0.54151788300397685"/>
    <n v="-0.37979016878345417"/>
    <n v="-83.541201360800287"/>
    <n v="-72.111316401455028"/>
    <n v="8022400"/>
    <n v="8346495"/>
    <n v="6880789.8150000004"/>
    <n v="0.94566463901076991"/>
    <n v="0.87011434140917832"/>
    <n v="16.857147216796875"/>
    <n v="9.5529158645150627"/>
    <n v="9.5529158645150627"/>
    <n v="7.7504872766090971"/>
    <n v="-84.902577167980027"/>
    <n v="-86.25157626549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4"/>
    <s v="NO_PATTERN"/>
    <n v="0"/>
  </r>
  <r>
    <d v="2021-10-22T00:00:00"/>
    <n v="17.209999084472656"/>
    <n v="16.420000076293945"/>
    <n v="16.850000381469727"/>
    <n v="16.829999923706055"/>
    <n v="7405700"/>
    <n v="16.829999923706055"/>
    <n v="17.030000686645508"/>
    <n v="-1.1744025535846747E-2"/>
    <n v="-1.1813531324852388E-2"/>
    <n v="2.0000457763671875E-2"/>
    <n v="0.40999984741210938"/>
    <n v="0.35999870300292969"/>
    <n v="1.1876756284113395E-3"/>
    <n v="20.499523173755485"/>
    <n v="17.999523173755485"/>
    <n v="0.30095671820062897"/>
    <n v="0.30906242395839223"/>
    <n v="-5.77194239265807E-2"/>
    <n v="-88.087912233601003"/>
    <n v="-84.418164512053409"/>
    <n v="-70.437913385152441"/>
    <n v="-15.723138455945632"/>
    <n v="-1.2600002288818359"/>
    <n v="9.111065334743923E-2"/>
    <n v="-7405700"/>
    <n v="-108390000"/>
    <n v="-85.856694272125139"/>
    <n v="45.787039054721227"/>
    <n v="22.587056910622046"/>
    <n v="57.260033546728764"/>
    <n v="-80.708554343577617"/>
    <n v="0.60571438925606869"/>
    <n v="76.99916137655994"/>
    <n v="57.168579822305333"/>
    <n v="17.136666615804035"/>
    <n v="17.896249771118164"/>
    <n v="17.864499950408934"/>
    <n v="0.46782201738384627"/>
    <n v="19.834492664337159"/>
    <n v="18.800143985176625"/>
    <n v="16.928855915641243"/>
    <n v="-0.11706144209160128"/>
    <n v="-5.8737963388784111E-3"/>
    <n v="0.10474897560692967"/>
    <n v="84.705602927800967"/>
    <n v="24.133572831249893"/>
    <n v="11.620903282556824"/>
    <n v="32.231303980578772"/>
    <n v="-88.83571066281192"/>
    <n v="-76.286577268384761"/>
    <n v="17.667032205300377"/>
    <n v="-4.9734538644608799E-2"/>
    <n v="-59.35318771592398"/>
    <n v="17.75553183715008"/>
    <n v="17.905275138609671"/>
    <n v="-6.3890387390259415E-2"/>
    <n v="17.97597206033933"/>
    <n v="18.360721130296731"/>
    <n v="-9.0951943762909063E-2"/>
    <n v="-61.738728618530459"/>
    <n v="19.486391064726924"/>
    <n v="-0.15783666981953959"/>
    <n v="-0.22044022318925016"/>
    <n v="-0.1298246661181662"/>
    <n v="-9.0615557071083958E-2"/>
    <n v="-88.354920967785077"/>
    <n v="-40.419764027791288"/>
    <n v="4563555.555555556"/>
    <n v="5771740"/>
    <n v="4580092"/>
    <n v="0.62279168289832465"/>
    <n v="0.28309660518318558"/>
    <n v="16.803268757089043"/>
    <n v="16.776721818974504"/>
    <n v="16.776721818974504"/>
    <n v="32.524171334655108"/>
    <n v="-88.31572467218551"/>
    <n v="82.2921897279585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5"/>
    <s v="CDLBELTHOLD_Bull"/>
    <n v="1"/>
  </r>
  <r>
    <d v="2021-10-22T00:00:00"/>
    <n v="18.180000305175781"/>
    <n v="16.709999084472656"/>
    <n v="18.120000839233398"/>
    <n v="17.569999694824219"/>
    <n v="15010000"/>
    <n v="17.569999694824219"/>
    <n v="18.260000228881836"/>
    <n v="-3.7787542464881474E-2"/>
    <n v="-3.8520002871558393E-2"/>
    <n v="0.55000114440917969"/>
    <n v="0.8600006103515625"/>
    <n v="5.9999465942382813E-2"/>
    <n v="3.0821021920934655E-2"/>
    <n v="1.5636342198440139"/>
    <n v="0.10908971108930188"/>
    <n v="0.40495631414876815"/>
    <n v="0.44596694550770083"/>
    <n v="-8.0874176693527894E-2"/>
    <n v="-86.713924519739237"/>
    <n v="-82.548440527611831"/>
    <n v="-45.512130955574399"/>
    <n v="-17.098403562190455"/>
    <n v="-2.6800003051757813"/>
    <n v="0.3611111111111111"/>
    <n v="-15010000"/>
    <n v="-273453500"/>
    <n v="-87.075214377801842"/>
    <n v="35.658784338786283"/>
    <n v="20.758177845595956"/>
    <n v="-71.431390575597348"/>
    <n v="-81.8024681273114"/>
    <n v="0.86571420942034039"/>
    <n v="78.293066133280732"/>
    <n v="59.33373052847891"/>
    <n v="18.400000254313152"/>
    <n v="19.512500047683716"/>
    <n v="19.426499938964845"/>
    <n v="0.76573507586599998"/>
    <n v="22.552799978256225"/>
    <n v="20.957970090696847"/>
    <n v="17.895029787232843"/>
    <n v="-0.19282700368348091"/>
    <n v="-1.8499151852824008E-2"/>
    <n v="0.15766814985135272"/>
    <n v="69.664238318290174"/>
    <n v="27.353902423507744"/>
    <n v="6.2810914105923672"/>
    <n v="27.965188975340169"/>
    <n v="-88.875914971087369"/>
    <n v="-40.275485279593376"/>
    <n v="19.111784264935796"/>
    <n v="-8.7750973072911159E-2"/>
    <n v="-49.344601899607284"/>
    <n v="19.259967357297132"/>
    <n v="19.547853195652017"/>
    <n v="-0.11256992232108209"/>
    <n v="19.698817291393961"/>
    <n v="20.446295514355096"/>
    <n v="-0.16370494419406156"/>
    <n v="-55.29349418946736"/>
    <n v="22.2776941094695"/>
    <n v="-0.26793935665417667"/>
    <n v="-0.43884993409682949"/>
    <n v="-0.31994585711357748"/>
    <n v="-0.11890407698325201"/>
    <n v="-86.759027078868641"/>
    <n v="42.554614832120308"/>
    <n v="8977322.222222222"/>
    <n v="8150865"/>
    <n v="6923288"/>
    <n v="0.67199078171045823"/>
    <n v="0.84152234149381688"/>
    <n v="21.393047572685632"/>
    <n v="25.939991780131106"/>
    <n v="25.939991780131106"/>
    <n v="41.398535046139443"/>
    <n v="-88.660505138654017"/>
    <n v="86.9407619534351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6"/>
    <s v="CDLSHOOTINGSTAR_Bear"/>
    <n v="-1"/>
  </r>
  <r>
    <d v="2021-10-22T00:00:00"/>
    <n v="21.959999084472656"/>
    <n v="20.809999465942383"/>
    <n v="21.329999923706055"/>
    <n v="21.670000076293945"/>
    <n v="13063100"/>
    <n v="21.670000076293945"/>
    <n v="21.5"/>
    <n v="7.9069802927416166E-3"/>
    <n v="7.8758839353679031E-3"/>
    <n v="0.34000015258789063"/>
    <n v="0.52000045776367188"/>
    <n v="0.28999900817871094"/>
    <n v="1.5813960585483285E-2"/>
    <n v="1.529412424687812"/>
    <n v="0.85293787656093978"/>
    <n v="0.24978408253814186"/>
    <n v="0.23281044802293382"/>
    <n v="9.3281796658474234E-2"/>
    <n v="34.117354404755311"/>
    <n v="73.068167518513036"/>
    <n v="79.304733351595743"/>
    <n v="71.858237990012938"/>
    <n v="1.6100006103515625"/>
    <n v="1.2911112043592665"/>
    <n v="13063100"/>
    <n v="49432100"/>
    <n v="87.446784361093393"/>
    <n v="85.212301044239879"/>
    <n v="25.632437826252961"/>
    <n v="81.537224635212311"/>
    <n v="65.540720115297773"/>
    <n v="0.64785698481968468"/>
    <n v="49.976686702183372"/>
    <n v="39.661638331814572"/>
    <n v="21.526666641235352"/>
    <n v="21.433749914169312"/>
    <n v="20.618499851226808"/>
    <n v="0.72378599347733119"/>
    <n v="22.931441497802734"/>
    <n v="22.066071838181472"/>
    <n v="19.170927864272144"/>
    <n v="-1.8277423188420384E-2"/>
    <n v="0.11532405183309986"/>
    <n v="0.14041486988865803"/>
    <n v="-65.880479627405748"/>
    <n v="77.850452202033608"/>
    <n v="76.772957856573171"/>
    <n v="69.549821511222717"/>
    <n v="-79.430350599533682"/>
    <n v="85.317433847922047"/>
    <n v="21.242813963720884"/>
    <n v="1.9713249241765547E-2"/>
    <n v="78.917257498577399"/>
    <n v="21.079521873877731"/>
    <n v="20.716264833924996"/>
    <n v="4.4011778449982351E-2"/>
    <n v="20.595754949335433"/>
    <n v="20.510252871808991"/>
    <n v="5.3518560240046725E-2"/>
    <n v="44.907073681151303"/>
    <n v="22.412563591764773"/>
    <n v="-3.4266890302559812E-2"/>
    <n v="0.48376692454229797"/>
    <n v="0.35281971133806667"/>
    <n v="0.13094721320423131"/>
    <n v="-82.847409277390113"/>
    <n v="70.405259947395578"/>
    <n v="7085633.333333333"/>
    <n v="7100600"/>
    <n v="6373870.5"/>
    <n v="0.84360372396727668"/>
    <n v="0.83971777032926798"/>
    <n v="88.537583079020067"/>
    <n v="84.168403036284502"/>
    <n v="84.168403036284502"/>
    <n v="81.767344178804109"/>
    <n v="-73.475109062401046"/>
    <n v="72.6253322459793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7"/>
    <s v="NO_PATTERN"/>
    <n v="0"/>
  </r>
  <r>
    <d v="2021-10-22T00:00:00"/>
    <n v="13.890000343322754"/>
    <n v="12.699999809265137"/>
    <n v="13.640000343322754"/>
    <n v="13.5"/>
    <n v="18831900"/>
    <n v="13.5"/>
    <n v="13.960000038146973"/>
    <n v="-3.2951292040829583E-2"/>
    <n v="-3.3506414622433839E-2"/>
    <n v="0.14000034332275391"/>
    <n v="0.80000019073486328"/>
    <n v="0.25"/>
    <n v="1.0316900630194586E-2"/>
    <n v="5.7142730635349892"/>
    <n v="1.7857099066082656"/>
    <n v="0.4452375859665223"/>
    <n v="0.5321590233023914"/>
    <n v="-4.4194056088464023E-2"/>
    <n v="-85.27172281604183"/>
    <n v="-77.265662491023122"/>
    <n v="-35.380798575275413"/>
    <n v="-51.04345095041672"/>
    <n v="-1.1999998092651367"/>
    <n v="6.6669252183702253E-3"/>
    <n v="-18831900"/>
    <n v="-42729700"/>
    <n v="-85.002204349256075"/>
    <n v="60.319566737293634"/>
    <n v="14.86732674246794"/>
    <n v="76.969146071917834"/>
    <n v="-81.54705719001656"/>
    <n v="0.69714294161115375"/>
    <n v="81.648938753412438"/>
    <n v="5.1812978355280848"/>
    <n v="14.090000152587891"/>
    <n v="14.685000061988831"/>
    <n v="14.791499948501587"/>
    <n v="0.52462800707121116"/>
    <n v="18.74593134880066"/>
    <n v="15.840755962644009"/>
    <n v="13.742243934359164"/>
    <n v="-0.17338933056622285"/>
    <n v="-1.7943995137715888E-2"/>
    <n v="0.14187283477612617"/>
    <n v="-31.054520279023777"/>
    <n v="-53.641031541827275"/>
    <n v="14.307081963114072"/>
    <n v="34.082752401535203"/>
    <n v="-88.541857642718696"/>
    <n v="-55.34349010127935"/>
    <n v="14.460399528329454"/>
    <n v="-7.1140705802181764E-2"/>
    <n v="-27.727300670425933"/>
    <n v="14.542371154299568"/>
    <n v="14.668378879849412"/>
    <n v="-8.6546583692549015E-2"/>
    <n v="14.735109393880069"/>
    <n v="15.225458151737373"/>
    <n v="-0.12781171494350907"/>
    <n v="-49.406109780250304"/>
    <n v="17.710008211315536"/>
    <n v="-0.3118524600974471"/>
    <n v="-0.19273823958050151"/>
    <n v="-0.10342246784087045"/>
    <n v="-8.9315771739631067E-2"/>
    <n v="-86.596835733664676"/>
    <n v="-62.807928088840349"/>
    <n v="8800500"/>
    <n v="8429930"/>
    <n v="7174830"/>
    <n v="1.1398670530083517"/>
    <n v="1.2339331406073359"/>
    <n v="27.491416930702286"/>
    <n v="32.305680204688279"/>
    <n v="32.305680204688279"/>
    <n v="42.792285873363198"/>
    <n v="-86.294070462831471"/>
    <n v="72.9363971424666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8"/>
    <s v="CDLHIGHWAVE_Bull"/>
    <n v="1"/>
  </r>
  <r>
    <d v="2021-10-22T00:00:00"/>
    <n v="11.989999771118164"/>
    <n v="10.939999580383301"/>
    <n v="11.260000228881836"/>
    <n v="11.609999656677246"/>
    <n v="32310800"/>
    <n v="11.609999656677246"/>
    <n v="11.609999656677246"/>
    <n v="0"/>
    <n v="0"/>
    <n v="0.34999942779541016"/>
    <n v="0.32000064849853516"/>
    <n v="0.38000011444091797"/>
    <n v="3.0607733235399975E-2"/>
    <n v="0.91428906188266512"/>
    <n v="1.0857163876937665"/>
    <n v="0.3715795301594324"/>
    <n v="0.35383376769691816"/>
    <n v="-7.386187816975226E-2"/>
    <n v="-83.806024116211105"/>
    <n v="-82.395772345651423"/>
    <n v="-73.559816924273875"/>
    <n v="-78.224637221948328"/>
    <n v="-1.2600002288818359"/>
    <n v="-0.74444452921549475"/>
    <n v="32310800"/>
    <n v="105643700"/>
    <n v="-86.176879758133438"/>
    <n v="-76.205191398182151"/>
    <n v="39.528949918463958"/>
    <n v="87.111604228808204"/>
    <n v="85.81912818120712"/>
    <n v="0.58285726819719585"/>
    <n v="74.053076200470457"/>
    <n v="-62.598535334632778"/>
    <n v="11.649999618530273"/>
    <n v="12.284999847412109"/>
    <n v="12.911312437057495"/>
    <n v="0.83750186911975977"/>
    <n v="15.18618414402008"/>
    <n v="14.586316175297014"/>
    <n v="11.236308698817975"/>
    <n v="-0.25635801952052623"/>
    <n v="3.2186991292833533E-2"/>
    <n v="0.25946297038432681"/>
    <n v="-48.258087367021183"/>
    <n v="56.636427855633492"/>
    <n v="8.9391736657359502"/>
    <n v="21.267900192430602"/>
    <n v="-86.889552200405745"/>
    <n v="46.700131516146968"/>
    <n v="12.21059592578235"/>
    <n v="-5.1730946327779054E-2"/>
    <n v="-79.0890244945018"/>
    <n v="12.406890024062387"/>
    <n v="12.894176537408649"/>
    <n v="-0.11060955372146249"/>
    <n v="13.102893983239403"/>
    <n v="13.728688933451874"/>
    <n v="-0.18248831519612566"/>
    <n v="-77.321185218356391"/>
    <n v="14.466444697296"/>
    <n v="-0.24603317184216536"/>
    <n v="-0.69600395917701618"/>
    <n v="-0.59245799864531934"/>
    <n v="-0.10354596053169685"/>
    <n v="-85.236978398785297"/>
    <n v="83.858580307975259"/>
    <n v="23768055.555555556"/>
    <n v="21630375"/>
    <n v="12532771"/>
    <n v="0.3594212586922223"/>
    <n v="0.49376975665008116"/>
    <n v="27.016126706374887"/>
    <n v="14.164100666899046"/>
    <n v="14.164100666899046"/>
    <n v="10.476865112872369"/>
    <n v="-87.19147507357043"/>
    <n v="78.3674730675034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9"/>
    <s v="NO_PATTERN"/>
    <n v="0"/>
  </r>
  <r>
    <d v="2021-10-22T00:00:00"/>
    <n v="32.310001373291016"/>
    <n v="30.190000534057617"/>
    <n v="31.75"/>
    <n v="31.879999160766602"/>
    <n v="6620300"/>
    <n v="31.879999160766602"/>
    <n v="32.560001373291016"/>
    <n v="-2.0884587955890543E-2"/>
    <n v="-2.1105755714328735E-2"/>
    <n v="0.12999916076660156"/>
    <n v="1.5599994659423828"/>
    <n v="0.43000221252441406"/>
    <n v="4.0860965733520637E-3"/>
    <n v="12.000073360036387"/>
    <n v="3.3077306806344176"/>
    <n v="0.38970607041861638"/>
    <n v="0.42362204410655963"/>
    <n v="-4.5678433157781799E-2"/>
    <n v="-86.44974989399519"/>
    <n v="-81.72801432959011"/>
    <n v="-51.703821286072255"/>
    <n v="-70.852091691943571"/>
    <n v="-2.7800006866455078"/>
    <n v="-0.50888760884602868"/>
    <n v="-6620300"/>
    <n v="-7184700"/>
    <n v="-85.333105180329127"/>
    <n v="-56.896350673002438"/>
    <n v="17.842524723154277"/>
    <n v="83.453931090477866"/>
    <n v="-75.466727385594851"/>
    <n v="1.6285706928798132"/>
    <n v="84.144843158338702"/>
    <n v="44.523621336466654"/>
    <n v="32.633333206176758"/>
    <n v="34.417500257492065"/>
    <n v="34.914499759674072"/>
    <n v="1.5606021174331961"/>
    <n v="33.510565528869627"/>
    <n v="38.035703994540462"/>
    <n v="31.793295524807679"/>
    <n v="-0.19308986812488479"/>
    <n v="2.7196875232551893E-3"/>
    <n v="0.17879129051542958"/>
    <n v="-40.294846430157662"/>
    <n v="34.69244128942124"/>
    <n v="10.862025690804444"/>
    <n v="30.845826860739024"/>
    <n v="-88.225338800424524"/>
    <n v="73.714044133437355"/>
    <n v="33.867026221881403"/>
    <n v="-6.2328328526437153E-2"/>
    <n v="-63.137808602124153"/>
    <n v="34.201038801993768"/>
    <n v="34.959123143226506"/>
    <n v="-9.6584820060135232E-2"/>
    <n v="35.264658698252362"/>
    <n v="35.965293010251528"/>
    <n v="-0.12814598359564983"/>
    <n v="-62.403599816561645"/>
    <n v="33.709700230897255"/>
    <n v="-5.7393385141063333E-2"/>
    <n v="-1.0636198962585937"/>
    <n v="-0.83062908327073137"/>
    <n v="-0.23299081298786228"/>
    <n v="-87.560932401506719"/>
    <n v="84.256881448413708"/>
    <n v="3643511.111111111"/>
    <n v="4229350"/>
    <n v="4362184.5"/>
    <n v="0.81701106380902422"/>
    <n v="0.565323276626432"/>
    <n v="26.740493961217432"/>
    <n v="18.390648331423844"/>
    <n v="18.390648331423844"/>
    <n v="28.622586419078932"/>
    <n v="-88.049061991772405"/>
    <n v="85.2767534508563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50"/>
    <s v="CDLSHOOTINGSTAR_Bear"/>
    <n v="-1"/>
  </r>
  <r>
    <d v="2021-10-22T00:00:00"/>
    <n v="18.540000915527344"/>
    <n v="17.270000457763672"/>
    <n v="17.510000228881836"/>
    <n v="18.299999237060547"/>
    <n v="3340700"/>
    <n v="18.299999237060547"/>
    <n v="17.799999237060547"/>
    <n v="2.8089888844431643E-2"/>
    <n v="2.7702603720422308E-2"/>
    <n v="0.78999900817871094"/>
    <n v="0.23999977111816406"/>
    <n v="0.24000167846679688"/>
    <n v="4.4121698964561612E-2"/>
    <n v="0.30379756003930591"/>
    <n v="0.30379997440769507"/>
    <n v="0.3531653405970735"/>
    <n v="0.40973031488319894"/>
    <n v="-4.3620531107046341E-3"/>
    <n v="-78.123203651168268"/>
    <n v="-71.360595107352594"/>
    <n v="-35.290363885357792"/>
    <n v="-66.222213244702743"/>
    <n v="-0.90999984741210938"/>
    <n v="-0.55555534362792969"/>
    <n v="3340700"/>
    <n v="-14773700"/>
    <n v="-45.064369403463331"/>
    <n v="9.7522538383740578"/>
    <n v="36.936163206081474"/>
    <n v="80.202575600839154"/>
    <n v="-55.289242874637708"/>
    <n v="0.75928592681884766"/>
    <n v="30.464677692585198"/>
    <n v="-21.283006264267527"/>
    <n v="18.226666132609051"/>
    <n v="18.792499780654907"/>
    <n v="19.269499683380126"/>
    <n v="0.89950571472119589"/>
    <n v="26.253320093154908"/>
    <n v="21.068511112822517"/>
    <n v="17.470488253937734"/>
    <n v="-0.15128480826137261"/>
    <n v="4.5328470912879303E-2"/>
    <n v="0.18672113536959467"/>
    <n v="-71.320958885642227"/>
    <n v="-76.500745450792138"/>
    <n v="43.952929352414088"/>
    <n v="37.075897099933613"/>
    <n v="-80.481149184007933"/>
    <n v="81.512367196932189"/>
    <n v="18.676596410863851"/>
    <n v="-2.0579081393655607E-2"/>
    <n v="-59.439015783874254"/>
    <n v="18.861189389689095"/>
    <n v="19.409428737278958"/>
    <n v="-6.0624565380944476E-2"/>
    <n v="19.695634434734036"/>
    <n v="20.942113742048665"/>
    <n v="-0.14437784782184013"/>
    <n v="-70.689030140533902"/>
    <n v="25.089240675141177"/>
    <n v="-0.37099681536222612"/>
    <n v="-0.83444504504494077"/>
    <n v="-0.82174440686163364"/>
    <n v="-1.2700638183307134E-2"/>
    <n v="-76.552979130750671"/>
    <n v="80.00768348692192"/>
    <n v="1785555.5555555555"/>
    <n v="2117760"/>
    <n v="2986952"/>
    <n v="0.87095830740510283"/>
    <n v="0.57746864611665161"/>
    <n v="37.184065309809831"/>
    <n v="23.888725349935864"/>
    <n v="23.888725349935864"/>
    <n v="23.722909745667806"/>
    <n v="-83.544738594639412"/>
    <n v="79.9341690633256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51"/>
    <s v="CDLBELTHOLD_Bear"/>
    <n v="-1"/>
  </r>
  <r>
    <d v="2021-10-22T00:00:00"/>
    <n v="12.439999580383301"/>
    <n v="11.890000343322754"/>
    <n v="11.899999618530273"/>
    <n v="12.270000457763672"/>
    <n v="15618800"/>
    <n v="12.270000457763672"/>
    <n v="12.020000457763672"/>
    <n v="2.0798668093105377E-2"/>
    <n v="2.0585328839811248E-2"/>
    <n v="0.37000083923339844"/>
    <n v="9.9992752075195313E-3"/>
    <n v="0.16999912261962891"/>
    <n v="3.0616536041826254E-2"/>
    <n v="2.7025006830354612E-2"/>
    <n v="0.4594560460237026"/>
    <n v="0.35702928077262897"/>
    <n v="0.29178121370134935"/>
    <n v="-8.9249804700935326E-3"/>
    <n v="-80.736661947143944"/>
    <n v="-67.350727070145012"/>
    <n v="-12.657846094484759"/>
    <n v="37.149192084677992"/>
    <n v="-0.23999977111816406"/>
    <n v="0.20333343082004124"/>
    <n v="15618800"/>
    <n v="407963000"/>
    <n v="-69.06301821724027"/>
    <n v="68.017347922493187"/>
    <n v="14.468195234167183"/>
    <n v="-51.673548823568574"/>
    <n v="-82.25724889328464"/>
    <n v="0.43500001089913504"/>
    <n v="79.117737873471128"/>
    <n v="-81.578654260437332"/>
    <n v="12.250000317891439"/>
    <n v="12.56250011920929"/>
    <n v="12.420024490356445"/>
    <n v="0.28623400524644133"/>
    <n v="12.763923015594482"/>
    <n v="12.992492500849327"/>
    <n v="11.847556479863563"/>
    <n v="-5.8882804900672041E-2"/>
    <n v="3.4429010769336466E-2"/>
    <n v="9.2184683039453888E-2"/>
    <n v="-83.522965647667661"/>
    <n v="-60.532790013046586"/>
    <n v="39.740553483794756"/>
    <n v="45.621015897597331"/>
    <n v="-88.370629512969018"/>
    <n v="-78.323313653682092"/>
    <n v="12.433499160653588"/>
    <n v="-1.3325077163013814E-2"/>
    <n v="20.014689137017871"/>
    <n v="12.436416449268767"/>
    <n v="12.414357285410652"/>
    <n v="-1.1765022189191579E-2"/>
    <n v="12.419538538027684"/>
    <n v="12.564026981001835"/>
    <n v="-2.3963040934698702E-2"/>
    <n v="-1.4942637872188496"/>
    <n v="12.295522077536189"/>
    <n v="-2.0800015338523288E-3"/>
    <n v="1.687791124108351E-2"/>
    <n v="3.1227052313366883E-2"/>
    <n v="-1.4349141072283373E-2"/>
    <n v="-87.582761183324436"/>
    <n v="-82.526048107527927"/>
    <n v="10537922.222222222"/>
    <n v="11056165"/>
    <n v="11522587.5"/>
    <n v="0.48215176299776585"/>
    <n v="0.41267790413764627"/>
    <n v="43.846197297580822"/>
    <n v="37.972054961039056"/>
    <n v="37.972054961039056"/>
    <n v="49.442175857436801"/>
    <n v="-88.097010579830481"/>
    <n v="-77.851860111615622"/>
    <n v="1"/>
    <n v="0"/>
    <n v="1"/>
    <n v="0"/>
    <n v="0"/>
    <n v="0"/>
    <n v="-1"/>
    <n v="0"/>
    <n v="-1"/>
    <n v="-1"/>
    <n v="0"/>
    <n v="-1"/>
    <n v="0"/>
    <n v="0"/>
    <n v="0"/>
    <n v="0"/>
    <n v="0"/>
    <n v="0"/>
    <n v="0"/>
    <n v="0"/>
    <n v="0"/>
    <n v="0"/>
    <x v="52"/>
    <s v="CDLLONGLINE_Bear"/>
    <n v="-1"/>
  </r>
  <r>
    <d v="2021-10-22T00:00:00"/>
    <n v="5.5100002288818359"/>
    <n v="5.130000114440918"/>
    <n v="5.4699997901916504"/>
    <n v="5.380000114440918"/>
    <n v="5556700"/>
    <n v="5.380000114440918"/>
    <n v="5.5900001525878906"/>
    <n v="-3.7567089877404203E-2"/>
    <n v="-3.8290919018349981E-2"/>
    <n v="8.9999675750732422E-2"/>
    <n v="0.25"/>
    <n v="4.0000438690185547E-2"/>
    <n v="1.6589802127519968E-2"/>
    <n v="2.777787785507277"/>
    <n v="0.44445092003412046"/>
    <n v="0.40560988013097099"/>
    <n v="0.44419134358569762"/>
    <n v="1.0809125997046504E-3"/>
    <n v="-84.755140274254472"/>
    <n v="-74.194304573516334"/>
    <n v="20.579240538597446"/>
    <n v="-37.873568415228277"/>
    <n v="-0.32401180267333984"/>
    <n v="0.10627508163452148"/>
    <n v="-5556700"/>
    <n v="186447500"/>
    <n v="-82.147210746474286"/>
    <n v="-16.906797541972658"/>
    <n v="29.729761608482256"/>
    <n v="-78.295443868578786"/>
    <n v="-83.6801806812922"/>
    <n v="0.32778903416224886"/>
    <n v="24.188841842514261"/>
    <n v="63.226060872913564"/>
    <n v="5.5733334223429365"/>
    <n v="5.8078075051307678"/>
    <n v="5.7828776597976681"/>
    <n v="0.21873484708427171"/>
    <n v="6.6695090508460995"/>
    <n v="6.2203473539662113"/>
    <n v="5.3454079656291249"/>
    <n v="-0.15619836833639567"/>
    <n v="6.4297673003651662E-3"/>
    <n v="0.15129827048212169"/>
    <n v="-46.487878328270682"/>
    <n v="38.769202955741981"/>
    <n v="11.3737697679733"/>
    <n v="32.895591362134851"/>
    <n v="-88.349103522976293"/>
    <n v="80.489529589730878"/>
    <n v="5.7078002399180532"/>
    <n v="-6.0929390056565037E-2"/>
    <n v="13.928574358777565"/>
    <n v="5.7389050318768069"/>
    <n v="5.8243123629454505"/>
    <n v="-8.2585918039651346E-2"/>
    <n v="5.8766140944416376"/>
    <n v="6.1241697667198594"/>
    <n v="-0.13832149376381089"/>
    <n v="-67.429264971264928"/>
    <n v="6.5829143693746639"/>
    <n v="-0.22359000545462834"/>
    <n v="-0.13770906256483073"/>
    <n v="-0.13420476456827429"/>
    <n v="-3.504297996556438E-3"/>
    <n v="-86.497756822161378"/>
    <n v="77.791569923333611"/>
    <n v="4878977.777777778"/>
    <n v="4667395"/>
    <n v="5856165.5"/>
    <n v="0.13890660156499091"/>
    <n v="0.19053561997645363"/>
    <n v="21.929827129778776"/>
    <n v="24.593897354527943"/>
    <n v="24.593897354527943"/>
    <n v="35.358461792328683"/>
    <n v="-86.776514481826851"/>
    <n v="87.454964535598492"/>
    <n v="1"/>
    <n v="0"/>
    <n v="1"/>
    <n v="0"/>
    <n v="0"/>
    <n v="0"/>
    <n v="-1"/>
    <n v="0"/>
    <n v="-1"/>
    <n v="-1"/>
    <n v="0"/>
    <n v="-1"/>
    <n v="0"/>
    <n v="0"/>
    <n v="0"/>
    <n v="0"/>
    <n v="0"/>
    <n v="0"/>
    <n v="0"/>
    <n v="0"/>
    <n v="0"/>
    <n v="0"/>
    <x v="53"/>
    <s v="CDLBELTHOLD_Bull"/>
    <n v="1"/>
  </r>
  <r>
    <d v="2021-10-22T00:00:00"/>
    <n v="11.779999732971191"/>
    <n v="10.939999580383301"/>
    <n v="11.609999656677246"/>
    <n v="11.529999732971191"/>
    <n v="28702000"/>
    <n v="11.529999732971191"/>
    <n v="11.920000076293945"/>
    <n v="-3.2718149398201057E-2"/>
    <n v="-3.326535691621537E-2"/>
    <n v="7.9999923706054688E-2"/>
    <n v="0.59000015258789063"/>
    <n v="0.17000007629394531"/>
    <n v="6.9144274689862135E-3"/>
    <n v="7.3750089407052428"/>
    <n v="2.1250029802350809"/>
    <n v="0.35950804582164791"/>
    <n v="0.35668168634127828"/>
    <n v="-2.6531331221863397E-2"/>
    <n v="-85.336889310077481"/>
    <n v="-76.888253146656638"/>
    <n v="54.863079737420904"/>
    <n v="49.935030321715182"/>
    <n v="-0.78999996185302734"/>
    <n v="0.49666669633653426"/>
    <n v="-28702000"/>
    <n v="107125500"/>
    <n v="-85.951037450738482"/>
    <n v="-22.146184348827706"/>
    <n v="19.203195618792943"/>
    <n v="-82.168167078187494"/>
    <n v="79.293878693415962"/>
    <n v="0.4878572736467634"/>
    <n v="79.583171914599092"/>
    <n v="70.180772347269922"/>
    <n v="11.946666717529297"/>
    <n v="12.330000042915344"/>
    <n v="12.067000055313111"/>
    <n v="0.38306383765575897"/>
    <n v="12.636220850944518"/>
    <n v="12.833127730624629"/>
    <n v="11.300872380001593"/>
    <n v="-0.11302064421797095"/>
    <n v="1.987227738734337E-2"/>
    <n v="0.12697897933201568"/>
    <n v="-32.790089189721456"/>
    <n v="71.93906035650113"/>
    <n v="14.126905395991855"/>
    <n v="36.999428473580409"/>
    <n v="-88.886287081207897"/>
    <n v="46.154982623513369"/>
    <n v="12.117683872661544"/>
    <n v="-5.0970004622793802E-2"/>
    <n v="58.009141196580792"/>
    <n v="12.124588168313988"/>
    <n v="12.097115051689089"/>
    <n v="-4.9186065208325587E-2"/>
    <n v="12.094916829021727"/>
    <n v="12.207469051786592"/>
    <n v="-5.8757097528641701E-2"/>
    <n v="18.637242583419901"/>
    <n v="12.736564598318447"/>
    <n v="-0.10464569759676247"/>
    <n v="2.9671339292260512E-2"/>
    <n v="5.8796697254778742E-2"/>
    <n v="-2.9125357962518229E-2"/>
    <n v="-87.363053499510727"/>
    <n v="31.779995217555552"/>
    <n v="15203400"/>
    <n v="14309470"/>
    <n v="11707074.5"/>
    <n v="0.88786718760277306"/>
    <n v="1.0058045476177666"/>
    <n v="29.797980041239178"/>
    <n v="45.310990779570226"/>
    <n v="45.310990779570226"/>
    <n v="56.685128534349928"/>
    <n v="-88.073426170890329"/>
    <n v="83.553862827103146"/>
    <n v="1"/>
    <n v="0"/>
    <n v="1"/>
    <n v="1"/>
    <n v="0"/>
    <n v="1"/>
    <n v="-1"/>
    <n v="0"/>
    <n v="-1"/>
    <n v="-1"/>
    <n v="0"/>
    <n v="-1"/>
    <n v="0"/>
    <n v="0"/>
    <n v="0"/>
    <n v="0"/>
    <n v="0"/>
    <n v="0"/>
    <n v="0"/>
    <n v="0"/>
    <n v="0"/>
    <n v="0"/>
    <x v="54"/>
    <s v="CDLRICKSHAWMAN_Bull"/>
    <n v="1"/>
  </r>
  <r>
    <d v="2021-10-22T00:00:00"/>
    <n v="20.600000381469727"/>
    <n v="18.899999618530273"/>
    <n v="20.399999618530273"/>
    <n v="19.780000686645508"/>
    <n v="4886700"/>
    <n v="19.780000686645508"/>
    <n v="20.579999923706055"/>
    <n v="-3.8872655006136791E-2"/>
    <n v="-3.9648365790018472E-2"/>
    <n v="0.61999893188476563"/>
    <n v="0.88000106811523438"/>
    <n v="0.20000076293945313"/>
    <n v="3.0861071536871072E-2"/>
    <n v="1.4193590067003428"/>
    <n v="0.32258243144300403"/>
    <n v="0.42950704746755297"/>
    <n v="0.54755010292677908"/>
    <n v="-0.14296597015206153"/>
    <n v="-84.515843154614259"/>
    <n v="-81.347321808359254"/>
    <n v="-65.175462434058957"/>
    <n v="-56.598029094955592"/>
    <n v="-4.1599998474121094"/>
    <n v="-0.52222209506564665"/>
    <n v="-4886700"/>
    <n v="-98114600"/>
    <n v="-85.817816140299172"/>
    <n v="-74.480113075824462"/>
    <n v="23.183872270875579"/>
    <n v="86.28239329399949"/>
    <n v="-73.170741050695057"/>
    <n v="1.1757142203194755"/>
    <n v="63.935841793375481"/>
    <n v="53.445425570344867"/>
    <n v="20.726666768391926"/>
    <n v="22.588749885559082"/>
    <n v="23.130499839782715"/>
    <n v="1.3130697889657055"/>
    <n v="30.455356159210204"/>
    <n v="25.756639417714126"/>
    <n v="20.504360261851303"/>
    <n v="-0.30215563819993968"/>
    <n v="-3.6620806373118472E-2"/>
    <n v="0.22707158047788051"/>
    <n v="79.449445564228327"/>
    <n v="-18.15029799393589"/>
    <n v="5.6030385940932916"/>
    <n v="24.922024454637125"/>
    <n v="-88.187815635496065"/>
    <n v="-72.659592981453798"/>
    <n v="22.055906888034968"/>
    <n v="-0.11506097686467937"/>
    <n v="-67.281307005951604"/>
    <n v="22.417099719171141"/>
    <n v="23.166208153990588"/>
    <n v="-0.17119349594518887"/>
    <n v="23.495341856609539"/>
    <n v="24.809152796086643"/>
    <n v="-0.2542543950889028"/>
    <n v="-56.234355409238894"/>
    <n v="29.873754204854571"/>
    <n v="-0.51030096905021205"/>
    <n v="-1.0782421374383979"/>
    <n v="-0.79244241609075594"/>
    <n v="-0.28579972134764198"/>
    <n v="-86.471315992960015"/>
    <n v="40.098768826107218"/>
    <n v="2871088.888888889"/>
    <n v="2559995"/>
    <n v="2504932"/>
    <n v="0.70203716747033629"/>
    <n v="0.90887091576350731"/>
    <n v="14.473701959832116"/>
    <n v="9.1507973970178593"/>
    <n v="9.1507973970178593"/>
    <n v="12.484311676403321"/>
    <n v="-88.792579444834288"/>
    <n v="83.8157328103998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55"/>
    <s v="CDLCLOSINGMARUBOZU_Bull"/>
    <n v="1"/>
  </r>
  <r>
    <d v="2021-10-22T00:00:00"/>
    <n v="13.640000343322754"/>
    <n v="12.989999771118164"/>
    <n v="13.600000381469727"/>
    <n v="13.369999885559082"/>
    <n v="17367200"/>
    <n v="13.369999885559082"/>
    <n v="13.779999732971191"/>
    <n v="-2.9753255105739118E-2"/>
    <n v="-3.0204863653192925E-2"/>
    <n v="0.23000049591064453"/>
    <n v="0.38000011444091797"/>
    <n v="3.9999961853027344E-2"/>
    <n v="1.7056024741076717E-2"/>
    <n v="1.6521708483122075"/>
    <n v="0.17391250264333072"/>
    <n v="0.30802734286748945"/>
    <n v="0.37662280760889144"/>
    <n v="-2.7297887581814815E-2"/>
    <n v="-87.4432562322324"/>
    <n v="-82.607129075514621"/>
    <n v="48.568859260280931"/>
    <n v="41.588740081730371"/>
    <n v="-0.76000022888183594"/>
    <n v="0.56333340538872612"/>
    <n v="-17367200"/>
    <n v="331329159"/>
    <n v="-85.041114953689558"/>
    <n v="-13.048805254784241"/>
    <n v="31.487140873167739"/>
    <n v="-77.630838983563777"/>
    <n v="-74.574714610606321"/>
    <n v="0.5664285251072475"/>
    <n v="84.703561316162279"/>
    <n v="81.295219025740906"/>
    <n v="13.996666590372721"/>
    <n v="14.620000004768372"/>
    <n v="14.331999921798706"/>
    <n v="0.50326936622439689"/>
    <n v="12.312719721794128"/>
    <n v="15.3385386542475"/>
    <n v="13.325461189349912"/>
    <n v="-0.14723551125940057"/>
    <n v="3.3312413306207877E-3"/>
    <n v="0.14046033183657325"/>
    <n v="64.442565114794661"/>
    <n v="69.704539237628012"/>
    <n v="8.4454580446303993"/>
    <n v="32.567519161893159"/>
    <n v="-89.195995409079529"/>
    <n v="-71.337322016192232"/>
    <n v="14.300912734148902"/>
    <n v="-6.9626990019296675E-2"/>
    <n v="62.623238794970433"/>
    <n v="14.324072596961194"/>
    <n v="14.235641291808086"/>
    <n v="-6.4745057117313987E-2"/>
    <n v="14.151060898893064"/>
    <n v="13.743849840350066"/>
    <n v="-2.796185175699057E-2"/>
    <n v="71.887823808845596"/>
    <n v="12.375086835307084"/>
    <n v="7.4413841343903275E-2"/>
    <n v="0.17301169806813022"/>
    <n v="0.30528984294288414"/>
    <n v="-0.13227814487475392"/>
    <n v="-88.161930361992162"/>
    <n v="64.850455948767987"/>
    <n v="15786633.333333334"/>
    <n v="12652835"/>
    <n v="10159296.720000001"/>
    <n v="0.10012056613295206"/>
    <n v="0.37259357290283157"/>
    <n v="16.450218416149543"/>
    <n v="36.280501578702427"/>
    <n v="36.280501578702427"/>
    <n v="56.477557120119805"/>
    <n v="-87.071931582501534"/>
    <n v="81.08781657862896"/>
    <n v="1"/>
    <n v="0"/>
    <n v="1"/>
    <n v="1"/>
    <n v="0"/>
    <n v="1"/>
    <n v="0"/>
    <n v="0"/>
    <n v="0"/>
    <n v="-1"/>
    <n v="0"/>
    <n v="-1"/>
    <n v="0"/>
    <n v="0"/>
    <n v="0"/>
    <n v="0"/>
    <n v="1"/>
    <n v="1"/>
    <n v="0"/>
    <n v="0"/>
    <n v="0"/>
    <n v="0"/>
    <x v="56"/>
    <s v="CDLSHORTLINE_Bull"/>
    <n v="1"/>
  </r>
  <r>
    <d v="2021-10-22T00:00:00"/>
    <n v="24.590000152587891"/>
    <n v="23.120000839233398"/>
    <n v="23.829999923706055"/>
    <n v="24.25"/>
    <n v="14928700"/>
    <n v="24.25"/>
    <n v="24.129999160766602"/>
    <n v="4.9730975303352576E-3"/>
    <n v="4.9607725262209145E-3"/>
    <n v="0.42000007629394531"/>
    <n v="0.70999908447265625"/>
    <n v="0.34000015258789063"/>
    <n v="1.7470885064908764E-2"/>
    <n v="1.6904737035708284"/>
    <n v="0.80952402577644966"/>
    <n v="0.56126806479132807"/>
    <n v="0.55249792647603313"/>
    <n v="6.6197944226364536E-3"/>
    <n v="-82.950700538644753"/>
    <n v="-80.247600613859873"/>
    <n v="60.969751790510323"/>
    <n v="66.436868655741407"/>
    <n v="-0.5"/>
    <n v="1.5511112213134766"/>
    <n v="14928700"/>
    <n v="354424000"/>
    <n v="-69.495088972946505"/>
    <n v="25.098468580724859"/>
    <n v="21.393214243447471"/>
    <n v="-85.127116042698731"/>
    <n v="-70.986747839199779"/>
    <n v="1.1878570829119002"/>
    <n v="72.717030942959752"/>
    <n v="-63.425233130342242"/>
    <n v="24.34666633605957"/>
    <n v="25.15874981880188"/>
    <n v="24.394499778747559"/>
    <n v="1.0176675096922698"/>
    <n v="16.973499994277955"/>
    <n v="26.429834798132099"/>
    <n v="22.359164759363019"/>
    <n v="-8.989009476833397E-2"/>
    <n v="7.7972587242762126E-2"/>
    <n v="0.16686835457538016"/>
    <n v="-85.900881340763988"/>
    <n v="-58.869206807952914"/>
    <n v="22.511281009825993"/>
    <n v="49.592620532070228"/>
    <n v="-87.642500088709923"/>
    <n v="-74.146403476674422"/>
    <n v="24.708504852272988"/>
    <n v="-1.8907416588576816E-2"/>
    <n v="55.933583895533516"/>
    <n v="24.627063038955608"/>
    <n v="24.175923872735488"/>
    <n v="3.0546856603922319E-3"/>
    <n v="23.906718827278613"/>
    <n v="22.761397673468384"/>
    <n v="6.1385662949757371E-2"/>
    <n v="73.448520111369646"/>
    <n v="18.01432701854932"/>
    <n v="0.25714115387425485"/>
    <n v="0.72034421167699492"/>
    <n v="0.88047711341626778"/>
    <n v="-0.16013290173927286"/>
    <n v="-88.125288177125583"/>
    <n v="-79.309313150656493"/>
    <n v="9246244.444444444"/>
    <n v="10326900"/>
    <n v="13007376"/>
    <n v="0.61456903824015052"/>
    <n v="0.44561291384636248"/>
    <n v="53.831035146925799"/>
    <n v="55.7301772522639"/>
    <n v="55.7301772522639"/>
    <n v="62.082505712261245"/>
    <n v="-88.069503639186593"/>
    <n v="-50.852046164641706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57"/>
    <s v="CDLSHORTLINE_Bear"/>
    <n v="-1"/>
  </r>
  <r>
    <d v="2021-10-22T00:00:00"/>
    <n v="35.169998168945313"/>
    <n v="33.240001678466797"/>
    <n v="35.150001525878906"/>
    <n v="34.720001220703125"/>
    <n v="3418800"/>
    <n v="34.720001220703125"/>
    <n v="35.450000762939453"/>
    <n v="-2.0592370282809469E-2"/>
    <n v="-2.0807349549051571E-2"/>
    <n v="0.43000030517578125"/>
    <n v="1.4799995422363281"/>
    <n v="1.999664306640625E-2"/>
    <n v="1.2308581315944386E-2"/>
    <n v="3.4418569578254465"/>
    <n v="4.6503788080410211E-2"/>
    <n v="0.35803067706300828"/>
    <n v="0.43820318482337794"/>
    <n v="-4.4501795302540358E-2"/>
    <n v="-80.018242924411709"/>
    <n v="-69.873995241494583"/>
    <n v="-58.93402561800152"/>
    <n v="-21.826434629780152"/>
    <n v="-2.3299980163574219"/>
    <n v="-0.44999906751844621"/>
    <n v="-3418800"/>
    <n v="-8344000"/>
    <n v="-85.26481923420684"/>
    <n v="69.43914111258033"/>
    <n v="15.180600140876978"/>
    <n v="-80.425372475505426"/>
    <n v="-80.432695432584552"/>
    <n v="1.3964287894112724"/>
    <n v="78.612948063376649"/>
    <n v="65.378964572437326"/>
    <n v="35.420000712076821"/>
    <n v="35.907500267028809"/>
    <n v="36.101000022888186"/>
    <n v="0.73353417886782468"/>
    <n v="38.957714900970458"/>
    <n v="37.568068380623835"/>
    <n v="34.633931665152538"/>
    <n v="-8.202958121506175E-2"/>
    <n v="2.4789617662589478E-3"/>
    <n v="8.1275773901305831E-2"/>
    <n v="-58.841688285869843"/>
    <n v="-50.730383079955573"/>
    <n v="28.623963731568381"/>
    <n v="40.788932717553465"/>
    <n v="-82.630768468851016"/>
    <n v="-65.349781190772646"/>
    <n v="35.759289793820059"/>
    <n v="-2.9933425592658647E-2"/>
    <n v="-48.202904310561202"/>
    <n v="35.878728592080797"/>
    <n v="36.192529244111078"/>
    <n v="-4.2411519920393964E-2"/>
    <n v="36.387250699737713"/>
    <n v="37.259497718445587"/>
    <n v="-7.3142177662948657E-2"/>
    <n v="-52.645253876142242"/>
    <n v="37.895718173623287"/>
    <n v="-9.1466498884410163E-2"/>
    <n v="-0.50852210765691552"/>
    <n v="-0.48552966017775229"/>
    <n v="-2.2992447479163236E-2"/>
    <n v="-85.512571476218852"/>
    <n v="-74.610087875413186"/>
    <n v="3483500"/>
    <n v="3319125"/>
    <n v="2530254.5"/>
    <n v="-1.8573274006028373E-2"/>
    <n v="3.0030505027680565E-2"/>
    <n v="30.142557805096157"/>
    <n v="31.766134581103699"/>
    <n v="31.766134581103699"/>
    <n v="29.282073683640775"/>
    <n v="-85.773783465342717"/>
    <n v="-82.80878698883940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58"/>
    <s v="CDLLONGLINE_Bull"/>
    <n v="1"/>
  </r>
  <r>
    <d v="2021-10-22T00:00:00"/>
    <n v="23.719999313354492"/>
    <n v="21.440000534057617"/>
    <n v="23.590000152587891"/>
    <n v="22.649999618530273"/>
    <n v="6167100"/>
    <n v="22.649999618530273"/>
    <n v="24"/>
    <n v="-5.6250015894571903E-2"/>
    <n v="-5.7893995260833227E-2"/>
    <n v="0.94000053405761719"/>
    <n v="1.2099990844726563"/>
    <n v="0.12999916076660156"/>
    <n v="4.0657462746993708E-2"/>
    <n v="1.2872323372515122"/>
    <n v="0.13829690096605124"/>
    <n v="0.46908747314870386"/>
    <n v="0.65616650532584164"/>
    <n v="-0.12321349413843868"/>
    <n v="-85.494225725242828"/>
    <n v="-80.793233584562159"/>
    <n v="13.693210254330745"/>
    <n v="38.448814628342284"/>
    <n v="-4.1499996185302734"/>
    <n v="1.2900002797444661"/>
    <n v="-6167100"/>
    <n v="-83574200"/>
    <n v="-86.425132547041898"/>
    <n v="-13.499891852928316"/>
    <n v="23.718392988423513"/>
    <n v="-83.836815936505175"/>
    <n v="-71.157738886672192"/>
    <n v="1.5449999400547572"/>
    <n v="74.399768002922386"/>
    <n v="74.184358688065089"/>
    <n v="23.863333384195965"/>
    <n v="25.605000019073486"/>
    <n v="24.991999912261964"/>
    <n v="1.4381150914612508"/>
    <n v="29.469883966445924"/>
    <n v="27.868230095184465"/>
    <n v="22.115769729339462"/>
    <n v="-0.23038545538804717"/>
    <n v="2.3586308970784738E-2"/>
    <n v="0.23017207050415528"/>
    <n v="57.13949794915834"/>
    <n v="75.144927791401969"/>
    <n v="5.800281988251129"/>
    <n v="33.07042731236163"/>
    <n v="-88.509873308809276"/>
    <n v="-63.277513246543123"/>
    <n v="24.871960291708643"/>
    <n v="-9.8099810622537628E-2"/>
    <n v="-10.701773776975459"/>
    <n v="24.995956836778326"/>
    <n v="25.091652597957893"/>
    <n v="-0.10779925035539824"/>
    <n v="25.152192749581989"/>
    <n v="25.802181189414835"/>
    <n v="-0.13916916662134152"/>
    <n v="-3.3958974429633293"/>
    <n v="28.782159026028065"/>
    <n v="-0.27073551923952299"/>
    <n v="-0.15623591280366256"/>
    <n v="4.2547442892757137E-2"/>
    <n v="-0.19878335569641969"/>
    <n v="-86.435410947100607"/>
    <n v="-14.47257917965764"/>
    <n v="3066755.5555555555"/>
    <n v="2693865"/>
    <n v="2927324"/>
    <n v="1.0109525810846063"/>
    <n v="1.289312938844374"/>
    <n v="19.42213761444858"/>
    <n v="33.707565285895093"/>
    <n v="33.707565285895093"/>
    <n v="47.526675745683519"/>
    <n v="-88.734679924731935"/>
    <n v="86.1953775073088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59"/>
    <s v="CDLSPINNINGTOP_Bull"/>
    <n v="1"/>
  </r>
  <r>
    <d v="2021-10-22T00:00:00"/>
    <n v="35.900001525878906"/>
    <n v="33.310001373291016"/>
    <n v="35.889999389648438"/>
    <n v="35.060001373291016"/>
    <n v="5713100"/>
    <n v="35.060001373291016"/>
    <n v="36.080001831054688"/>
    <n v="-2.8270521230565504E-2"/>
    <n v="-2.8677827281448721E-2"/>
    <n v="0.82999801635742188"/>
    <n v="1.75"/>
    <n v="1.000213623046875E-2"/>
    <n v="2.3396702112256189E-2"/>
    <n v="2.1084387739625607"/>
    <n v="1.2050795343300594E-2"/>
    <n v="0.37515239431840119"/>
    <n v="0.38979365630945312"/>
    <n v="-6.5411611406751932E-2"/>
    <n v="-87.088926406858803"/>
    <n v="-81.950669442942711"/>
    <n v="-12.210765261312547"/>
    <n v="-50.122906315139559"/>
    <n v="-3.3799972534179688"/>
    <n v="0.35555564032660592"/>
    <n v="-5713100"/>
    <n v="-1711900"/>
    <n v="-87.918048387821997"/>
    <n v="-38.500802815616012"/>
    <n v="18.313585902800867"/>
    <n v="79.361575249400943"/>
    <n v="-56.1073675356946"/>
    <n v="1.7207142966134208"/>
    <n v="81.630353930798066"/>
    <n v="62.715634066332775"/>
    <n v="36.373334248860679"/>
    <n v="38.512500286102295"/>
    <n v="38.53950023651123"/>
    <n v="1.4541787333858287"/>
    <n v="37.307745170593265"/>
    <n v="41.447857703282885"/>
    <n v="35.631142769739576"/>
    <n v="-0.18219783456306959"/>
    <n v="-1.6290398576072507E-2"/>
    <n v="0.15092865496041691"/>
    <n v="78.92592396794825"/>
    <n v="31.950098208711832"/>
    <n v="9.1131745699276792"/>
    <n v="30.492253521894924"/>
    <n v="-89.033664682204289"/>
    <n v="32.257815851066837"/>
    <n v="37.761591232358597"/>
    <n v="-7.7056182351597793E-2"/>
    <n v="-21.17154744464321"/>
    <n v="37.986853926931246"/>
    <n v="38.256781140548917"/>
    <n v="-9.1180252197401029E-2"/>
    <n v="38.344335273435156"/>
    <n v="38.782298965142964"/>
    <n v="-0.10616935099972996"/>
    <n v="-13.882643487118301"/>
    <n v="37.643033181879844"/>
    <n v="-7.3674606600460713E-2"/>
    <n v="-0.35748134650390995"/>
    <n v="-3.1013317561817549E-2"/>
    <n v="-0.32646802894209237"/>
    <n v="-88.196058941821889"/>
    <n v="23.398090171565492"/>
    <n v="3331011.111111111"/>
    <n v="2595110"/>
    <n v="3090830"/>
    <n v="0.71512487032632732"/>
    <n v="1.2014866421847246"/>
    <n v="23.553161885887675"/>
    <n v="25.482334463620457"/>
    <n v="25.482334463620457"/>
    <n v="44.81420850651326"/>
    <n v="-86.321749397616685"/>
    <n v="79.50216502367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0"/>
    <s v="CDLSHOOTINGSTAR_Bear"/>
    <n v="-1"/>
  </r>
  <r>
    <d v="2021-10-22T00:00:00"/>
    <n v="9.4200000762939453"/>
    <n v="8.8500003814697266"/>
    <n v="9.2299995422363281"/>
    <n v="9.3000001907348633"/>
    <n v="10084500"/>
    <n v="9.3000001907348633"/>
    <n v="9.3400001525878906"/>
    <n v="-4.2826510920285221E-3"/>
    <n v="-4.2918479094492231E-3"/>
    <n v="7.0000648498535156E-2"/>
    <n v="0.37999916076660156"/>
    <n v="0.11999988555908203"/>
    <n v="7.5553858075863992E-3"/>
    <n v="5.4285091483767252"/>
    <n v="1.714268197980954"/>
    <n v="0.37708028457191217"/>
    <n v="0.3755549629297969"/>
    <n v="-0.15599226993663959"/>
    <n v="-86.534018136765312"/>
    <n v="-85.865779438789261"/>
    <n v="-81.508728531596034"/>
    <n v="-65.140787449815377"/>
    <n v="-1.75"/>
    <n v="-0.4677777820163303"/>
    <n v="-10084500"/>
    <n v="-48682437"/>
    <n v="-87.074832633294221"/>
    <n v="-82.102174416274892"/>
    <n v="39.22083763231506"/>
    <n v="-86.941012569774102"/>
    <n v="-66.394011482714248"/>
    <n v="0.40499993732997347"/>
    <n v="30.83189890736265"/>
    <n v="41.929551747290162"/>
    <n v="9.4600000381469727"/>
    <n v="10.176249980926514"/>
    <n v="10.472999954223633"/>
    <n v="0.52140591732982333"/>
    <n v="9.4665381240844724"/>
    <n v="11.51581178888328"/>
    <n v="9.4301881195639865"/>
    <n v="-0.23825930674237206"/>
    <n v="-1.3998701737535781E-2"/>
    <n v="0.19914290828180389"/>
    <n v="62.050136852352239"/>
    <n v="-78.198134920144028"/>
    <n v="1.8255565603247987"/>
    <n v="26.395811465499975"/>
    <n v="-88.405613709093203"/>
    <n v="-87.895039265965551"/>
    <n v="10.018072277758579"/>
    <n v="-7.7212050784589856E-2"/>
    <n v="-82.050706231608203"/>
    <n v="10.117804181973371"/>
    <n v="10.130885776707926"/>
    <n v="-8.9342534293798528E-2"/>
    <n v="10.070466241296636"/>
    <n v="9.7965947189636999"/>
    <n v="-5.3397260004743825E-2"/>
    <n v="77.623336083758659"/>
    <n v="9.6735175215279199"/>
    <n v="-4.0163153025004637E-2"/>
    <n v="4.7337940676735357E-2"/>
    <n v="0.28863370240808323"/>
    <n v="-0.24129576173134787"/>
    <n v="-87.753733791514051"/>
    <n v="-86.237853475256713"/>
    <n v="8837122.222222222"/>
    <n v="11118840"/>
    <n v="9103631.5"/>
    <n v="0.14115203415893318"/>
    <n v="-9.3025891190088195E-2"/>
    <n v="18.442618305468972"/>
    <n v="10.793716479211227"/>
    <n v="10.793716479211227"/>
    <n v="8.7138412933702512"/>
    <n v="-88.362024039899879"/>
    <n v="-86.026567148545539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61"/>
    <s v="NO_PATTERN"/>
    <n v="0"/>
  </r>
  <r>
    <d v="2021-10-22T00:00:00"/>
    <n v="52.080001831054688"/>
    <n v="50"/>
    <n v="50"/>
    <n v="51.5"/>
    <n v="3007600"/>
    <n v="51.5"/>
    <n v="50.639999389648438"/>
    <n v="1.6982634690303033E-2"/>
    <n v="1.6840041886525867E-2"/>
    <n v="1.5"/>
    <n v="0"/>
    <n v="0.5800018310546875"/>
    <n v="2.9556650246305417E-2"/>
    <n v="0"/>
    <n v="0.38666788736979169"/>
    <n v="0.35540719641037333"/>
    <n v="0.36268489060827658"/>
    <n v="-2.0183275134916495E-2"/>
    <n v="-81.826467013765196"/>
    <n v="-76.50952807033903"/>
    <n v="29.442828782798212"/>
    <n v="23.147699189499455"/>
    <n v="-1.8199996948242188"/>
    <n v="1.6777771843804254"/>
    <n v="3007600"/>
    <n v="90033447"/>
    <n v="-78.710626976960768"/>
    <n v="-37.871046179554767"/>
    <n v="16.18595881162608"/>
    <n v="-48.908870639761744"/>
    <n v="-83.405502338478684"/>
    <n v="1.7085715702601842"/>
    <n v="58.495879506141975"/>
    <n v="-78.897485423599605"/>
    <n v="51.379999796549477"/>
    <n v="53.064999103546143"/>
    <n v="52.512499427795412"/>
    <n v="1.493913287430565"/>
    <n v="58.586763610839846"/>
    <n v="55.500326002656543"/>
    <n v="49.52467285293428"/>
    <n v="-7.7676233061292094E-2"/>
    <n v="3.8355866933314942E-2"/>
    <n v="0.11379487197974217"/>
    <n v="-57.193289113841274"/>
    <n v="-47.118233571229084"/>
    <n v="36.373850021398731"/>
    <n v="42.781516210577053"/>
    <n v="-87.450012975022133"/>
    <n v="45.695959491840313"/>
    <n v="52.470960170721554"/>
    <n v="-1.8853595547991341E-2"/>
    <n v="-5.2575846521399505"/>
    <n v="52.585152175788764"/>
    <n v="52.907955066114312"/>
    <n v="-2.7338933322607992E-2"/>
    <n v="53.195623653088688"/>
    <n v="54.937027383782777"/>
    <n v="-6.6738395801607314E-2"/>
    <n v="-45.439518798979414"/>
    <n v="55.378660704806869"/>
    <n v="-7.5313800093337255E-2"/>
    <n v="-0.61047147729992446"/>
    <n v="-0.64697757313654392"/>
    <n v="3.6506095836619457E-2"/>
    <n v="-87.935341456312557"/>
    <n v="46.597944509403177"/>
    <n v="2847833.3333333335"/>
    <n v="2931000"/>
    <n v="2974998.17"/>
    <n v="5.6101129513665304E-2"/>
    <n v="2.6134425110883708E-2"/>
    <n v="36.577191947147234"/>
    <n v="34.377206673310106"/>
    <n v="34.377206673310106"/>
    <n v="47.23441572332235"/>
    <n v="-86.966069826467304"/>
    <n v="82.7520988845010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2"/>
    <s v="NO_PATTERN"/>
    <n v="0"/>
  </r>
  <r>
    <d v="2021-10-22T00:00:00"/>
    <n v="10.789999961853027"/>
    <n v="9.8599996566772461"/>
    <n v="10.630000114440918"/>
    <n v="10.539999961853027"/>
    <n v="16369500"/>
    <n v="10.539999961853027"/>
    <n v="10.75"/>
    <n v="-1.9534887269485823E-2"/>
    <n v="-1.9728215079712907E-2"/>
    <n v="9.0000152587890625E-2"/>
    <n v="0.68000030517578125"/>
    <n v="0.15999984741210938"/>
    <n v="8.5026124009014367E-3"/>
    <n v="7.5555461365659307"/>
    <n v="1.7777730682829653"/>
    <n v="0.38688111008059861"/>
    <n v="0.49506643742166312"/>
    <n v="-0.10441128600762624"/>
    <n v="-86.885057177204459"/>
    <n v="-83.41071233348481"/>
    <n v="-70.086491227222723"/>
    <n v="-73.349513226460942"/>
    <n v="-1.7100000381469727"/>
    <n v="-0.36333317226833767"/>
    <n v="-16369500"/>
    <n v="-107773900"/>
    <n v="-88.082145555501853"/>
    <n v="-77.711835322406159"/>
    <n v="25.636902141071552"/>
    <n v="82.455277317873623"/>
    <n v="-54.285373930341684"/>
    <n v="0.59285715648106163"/>
    <n v="74.017078563977293"/>
    <n v="55.81374021619677"/>
    <n v="10.953333218892416"/>
    <n v="11.757500052452087"/>
    <n v="12.108500003814697"/>
    <n v="0.69294392390034054"/>
    <n v="16.145488843917846"/>
    <n v="13.494387851615379"/>
    <n v="10.722612156014016"/>
    <n v="-0.28030245734867565"/>
    <n v="-1.7325635182344302E-2"/>
    <n v="0.22891156581972455"/>
    <n v="35.707134794844784"/>
    <n v="-18.988895380065202"/>
    <n v="5.9531197903588122"/>
    <n v="23.620746709331854"/>
    <n v="-88.463321438676445"/>
    <n v="10.719217997413425"/>
    <n v="11.547703681204084"/>
    <n v="-9.5607563851821203E-2"/>
    <n v="-74.165017577021729"/>
    <n v="11.723404727387932"/>
    <n v="12.109113276348308"/>
    <n v="-0.14887223151558882"/>
    <n v="12.277867822586051"/>
    <n v="12.959431891054139"/>
    <n v="-0.22954762219712133"/>
    <n v="-71.662417025406796"/>
    <n v="15.361584897020547"/>
    <n v="-0.45745587785750252"/>
    <n v="-0.55446309519811976"/>
    <n v="-0.42953362680916163"/>
    <n v="-0.12492946838895813"/>
    <n v="-86.8659903465295"/>
    <n v="77.002514068746422"/>
    <n v="6894033.333333333"/>
    <n v="6548495"/>
    <n v="4522071"/>
    <n v="1.3744445680080846"/>
    <n v="1.4997346718597173"/>
    <n v="23.367701648807401"/>
    <n v="13.451508457737148"/>
    <n v="13.451508457737148"/>
    <n v="16.778490360956468"/>
    <n v="-87.856170458543588"/>
    <n v="83.8369661752059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3"/>
    <s v="NO_PATTERN"/>
    <n v="0"/>
  </r>
  <r>
    <d v="2021-10-22T00:00:00"/>
    <n v="25.190000534057617"/>
    <n v="24.209999084472656"/>
    <n v="25.069999694824219"/>
    <n v="25.149999618530273"/>
    <n v="4583800"/>
    <n v="25.149999618530273"/>
    <n v="25.530000686645508"/>
    <n v="-1.4884491104381725E-2"/>
    <n v="-1.4996376771059264E-2"/>
    <n v="7.9999923706054688E-2"/>
    <n v="0.8600006103515625"/>
    <n v="4.000091552734375E-2"/>
    <n v="3.1859786857775254E-3"/>
    <n v="10.750017881410486"/>
    <n v="0.50001192094032376"/>
    <n v="0.28048151842333058"/>
    <n v="0.23372296252318081"/>
    <n v="-1.0678387384677572E-2"/>
    <n v="-85.358947615997494"/>
    <n v="-76.369619493882027"/>
    <n v="-29.937494858361955"/>
    <n v="-71.103037712472741"/>
    <n v="-0.88000106811523438"/>
    <n v="-0.33000013563368058"/>
    <n v="-4583800"/>
    <n v="40573300"/>
    <n v="-83.737555380692413"/>
    <n v="-49.003788259241773"/>
    <n v="15.781287540559847"/>
    <n v="-35.005771056812087"/>
    <n v="-57.369208639254197"/>
    <n v="0.79357174464634483"/>
    <n v="41.372761523029368"/>
    <n v="39.877601260690248"/>
    <n v="25.596666971842449"/>
    <n v="26.06000018119812"/>
    <n v="26.326500129699706"/>
    <n v="0.6828985043407878"/>
    <n v="26.915386543273925"/>
    <n v="27.692297138381281"/>
    <n v="24.960703121018131"/>
    <n v="-0.10108538999650195"/>
    <n v="7.5266998164354041E-3"/>
    <n v="0.10375834250301877"/>
    <n v="-68.726992351576541"/>
    <n v="49.444922374541598"/>
    <n v="15.258697670020695"/>
    <n v="32.981482620368936"/>
    <n v="-88.30990286330983"/>
    <n v="83.863776203766477"/>
    <n v="25.908418812076604"/>
    <n v="-3.0155833202778065E-2"/>
    <n v="-56.199758824550699"/>
    <n v="26.026419315188662"/>
    <n v="26.282747995253903"/>
    <n v="-4.5039697570771794E-2"/>
    <n v="26.360036559010737"/>
    <n v="26.438641591854605"/>
    <n v="-5.1238250213525759E-2"/>
    <n v="-61.526514372342568"/>
    <n v="26.642383948211329"/>
    <n v="-5.9339338064302839E-2"/>
    <n v="-0.33361724382207569"/>
    <n v="-0.23147523408047727"/>
    <n v="-0.10214200974159843"/>
    <n v="-75.742074732137411"/>
    <n v="80.22431320661164"/>
    <n v="2259333.3333333335"/>
    <n v="2130010"/>
    <n v="2215196.5"/>
    <n v="1.0288285629979343"/>
    <n v="1.1520086760156056"/>
    <n v="34.432235711835403"/>
    <n v="36.295561288791106"/>
    <n v="36.295561288791106"/>
    <n v="42.149590748305435"/>
    <n v="-72.293977958583639"/>
    <n v="80.0501869783311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4"/>
    <s v="CDLSPINNINGTOP_Bear"/>
    <n v="-1"/>
  </r>
  <r>
    <d v="2021-10-22T00:00:00"/>
    <n v="38.360000610351563"/>
    <n v="37.130001068115234"/>
    <n v="38.209999084472656"/>
    <n v="37.869998931884766"/>
    <n v="2452900"/>
    <n v="37.869998931884766"/>
    <n v="38.549999237060547"/>
    <n v="-1.7639437578044204E-2"/>
    <n v="-1.7796866509514241E-2"/>
    <n v="0.34000015258789063"/>
    <n v="0.73999786376953125"/>
    <n v="0.15000152587890625"/>
    <n v="8.9379642863499972E-3"/>
    <n v="2.1764633284340675"/>
    <n v="0.44118076047077831"/>
    <n v="0.21906667653239131"/>
    <n v="0.154901018822306"/>
    <n v="1.7312929697845907E-2"/>
    <n v="-75.229160976519822"/>
    <n v="9.3387552778759932"/>
    <n v="73.195195453947889"/>
    <n v="57.722639786322596"/>
    <n v="0.28999710083007813"/>
    <n v="0.94555494520399308"/>
    <n v="-2452900"/>
    <n v="-55777500"/>
    <n v="-83.028701730397074"/>
    <n v="60.701690163666377"/>
    <n v="15.077268328518063"/>
    <n v="-80.748634032785162"/>
    <n v="-79.000050883588131"/>
    <n v="0.84357098170689171"/>
    <n v="70.100948639853144"/>
    <n v="43.589496101668189"/>
    <n v="38.473332722981773"/>
    <n v="38.484999656677246"/>
    <n v="37.964499855041502"/>
    <n v="0.53600320170446603"/>
    <n v="38.479077911376955"/>
    <n v="39.036506258450437"/>
    <n v="36.892493451632568"/>
    <n v="-3.0802940572135243E-2"/>
    <n v="2.5812133821561428E-2"/>
    <n v="5.6474148612632252E-2"/>
    <n v="-47.086862245606163"/>
    <n v="-56.832581036041105"/>
    <n v="27.578277144919284"/>
    <n v="44.859897599438483"/>
    <n v="-87.682686540836897"/>
    <n v="85.858307426073353"/>
    <n v="38.293878843988665"/>
    <n v="-1.1193026777378977E-2"/>
    <n v="71.768420980411292"/>
    <n v="38.254250039509166"/>
    <n v="38.194406519316097"/>
    <n v="-8.5663479424657445E-3"/>
    <n v="38.170239918555438"/>
    <n v="38.055943680213289"/>
    <n v="-4.9100806330355327E-3"/>
    <n v="23.676460617655575"/>
    <n v="38.351606714221248"/>
    <n v="-1.2717396248220936E-2"/>
    <n v="8.4010120953728062E-2"/>
    <n v="3.6516332741699492E-2"/>
    <n v="4.749378821202857E-2"/>
    <n v="-72.477164334053128"/>
    <n v="84.458342968538105"/>
    <n v="1646800"/>
    <n v="1489605"/>
    <n v="1548192"/>
    <n v="0.48949477775078942"/>
    <n v="0.64667814621997111"/>
    <n v="44.839836877430002"/>
    <n v="66.31080895183068"/>
    <n v="66.31080895183068"/>
    <n v="72.262179310337402"/>
    <n v="-72.086266454981498"/>
    <n v="84.621597443969549"/>
    <n v="1"/>
    <n v="0"/>
    <n v="1"/>
    <n v="1"/>
    <n v="0"/>
    <n v="1"/>
    <n v="0"/>
    <n v="0"/>
    <n v="0"/>
    <n v="-1"/>
    <n v="0"/>
    <n v="-1"/>
    <n v="0"/>
    <n v="0"/>
    <n v="0"/>
    <n v="0"/>
    <n v="0"/>
    <n v="0"/>
    <n v="0"/>
    <n v="0"/>
    <n v="0"/>
    <n v="0"/>
    <x v="65"/>
    <s v="CDLONNECK_Bear"/>
    <n v="-1"/>
  </r>
  <r>
    <d v="2021-10-22T00:00:00"/>
    <n v="29.239999771118164"/>
    <n v="26.920000076293945"/>
    <n v="29.200000762939453"/>
    <n v="28.620000839233398"/>
    <n v="5737400"/>
    <n v="28.620000839233398"/>
    <n v="29.700000762939453"/>
    <n v="-3.6363632860700434E-2"/>
    <n v="-3.7041268045226901E-2"/>
    <n v="0.57999992370605469"/>
    <n v="1.7000007629394531"/>
    <n v="3.9999008178710938E-2"/>
    <n v="2.0062258998078567E-2"/>
    <n v="2.9310361837237369"/>
    <n v="6.8963816276263037E-2"/>
    <n v="0.41466917359147898"/>
    <n v="0.48327270577741432"/>
    <n v="-7.826722032969044E-2"/>
    <n v="-87.015302855002929"/>
    <n v="-83.242927957049034"/>
    <n v="-48.348066390947508"/>
    <n v="-36.023207107957951"/>
    <n v="-4.3799991607666016"/>
    <n v="0.40555572509765625"/>
    <n v="-5737400"/>
    <n v="-3105200"/>
    <n v="-88.415596714635527"/>
    <n v="1.356369987814898"/>
    <n v="26.995399997943288"/>
    <n v="-83.74893155261698"/>
    <n v="-84.402274381124627"/>
    <n v="1.5821429661342077"/>
    <n v="81.12966207256089"/>
    <n v="75.051220745825631"/>
    <n v="29.883333841959637"/>
    <n v="31.986250400543213"/>
    <n v="31.921000289916993"/>
    <n v="1.3556854222942447"/>
    <n v="36.913336591720579"/>
    <n v="34.632371134505483"/>
    <n v="29.209629445328503"/>
    <n v="-0.21007582526098659"/>
    <n v="-2.060197724686362E-2"/>
    <n v="0.16988006766473049"/>
    <n v="80.13006000761024"/>
    <n v="69.696178885566894"/>
    <n v="8.0083519969225989"/>
    <n v="29.209938569428729"/>
    <n v="-88.892595208713558"/>
    <n v="21.92292228466879"/>
    <n v="31.235705325837738"/>
    <n v="-9.1394284063703854E-2"/>
    <n v="-51.263946044670661"/>
    <n v="31.496081724855753"/>
    <n v="31.985007359133437"/>
    <n v="-0.11757534665362966"/>
    <n v="32.253155031455037"/>
    <n v="33.667926770665026"/>
    <n v="-0.17637756056637627"/>
    <n v="-58.614391045481703"/>
    <n v="36.598076269017874"/>
    <n v="-0.27875874199304085"/>
    <n v="-0.75707330659928473"/>
    <n v="-0.54153610401817998"/>
    <n v="-0.21553720258110476"/>
    <n v="-87.215970753760431"/>
    <n v="-28.794897074563426"/>
    <n v="3006300"/>
    <n v="2409510"/>
    <n v="2193901"/>
    <n v="0.90845890297042886"/>
    <n v="1.381148034247627"/>
    <n v="22.486784167087787"/>
    <n v="20.945000406913945"/>
    <n v="20.945000406913945"/>
    <n v="34.099454853931285"/>
    <n v="-88.948845386070943"/>
    <n v="86.1244115058315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6"/>
    <s v="NO_PATTERN"/>
    <n v="0"/>
  </r>
  <r>
    <d v="2021-10-22T00:00:00"/>
    <n v="14.279999732971191"/>
    <n v="13.260000228881836"/>
    <n v="14.100000381469727"/>
    <n v="14"/>
    <n v="20277000"/>
    <n v="14"/>
    <n v="14.600000381469727"/>
    <n v="-4.1095915465265698E-2"/>
    <n v="-4.1964225227095281E-2"/>
    <n v="0.10000038146972656"/>
    <n v="0.73999977111816406"/>
    <n v="0.17999935150146484"/>
    <n v="7.117464776667466E-3"/>
    <n v="7.3999694825382898"/>
    <n v="1.7999866486105018"/>
    <n v="0.36777482154650309"/>
    <n v="0.32030616725506805"/>
    <n v="-6.8992871486951601E-2"/>
    <n v="-84.509361473727893"/>
    <n v="-79.453573119061829"/>
    <n v="-67.001347439868184"/>
    <n v="-77.167345721834849"/>
    <n v="-1.2799997329711914"/>
    <n v="-0.7733330196804471"/>
    <n v="-20277000"/>
    <n v="174545800"/>
    <n v="-85.428997788612605"/>
    <n v="-63.81956656886544"/>
    <n v="21.897883368005559"/>
    <n v="85.578432479027498"/>
    <n v="74.682434388252801"/>
    <n v="0.6528569630214146"/>
    <n v="81.523743498662697"/>
    <n v="-64.850852191989844"/>
    <n v="14.450000127156576"/>
    <n v="14.943750143051147"/>
    <n v="15.483999919891357"/>
    <n v="0.78182222722668238"/>
    <n v="16.547774991989137"/>
    <n v="17.047644374344721"/>
    <n v="13.920355465437993"/>
    <n v="-0.21768888388176574"/>
    <n v="5.6888953258576536E-3"/>
    <n v="0.2019690600029834"/>
    <n v="79.246124655085623"/>
    <n v="75.702794879501639"/>
    <n v="3.6597515909973879"/>
    <n v="21.887727301043654"/>
    <n v="-87.950069341153906"/>
    <n v="-41.467604124070803"/>
    <n v="14.847549659641846"/>
    <n v="-6.0539261402988993E-2"/>
    <n v="-73.471899614825375"/>
    <n v="14.998397872630889"/>
    <n v="15.321922274766248"/>
    <n v="-9.4423019626160551E-2"/>
    <n v="15.448025247824832"/>
    <n v="15.833952105254401"/>
    <n v="-0.13099657894674291"/>
    <n v="-66.459215491671017"/>
    <n v="15.848833093712983"/>
    <n v="-0.1320595066937845"/>
    <n v="-0.44962737519394302"/>
    <n v="-0.32994222127004852"/>
    <n v="-0.11968515392389451"/>
    <n v="-84.716553159136097"/>
    <n v="71.690242769342362"/>
    <n v="6877933.333333333"/>
    <n v="7373740"/>
    <n v="6495570"/>
    <n v="1.9481239519623146"/>
    <n v="1.7498935411338072"/>
    <n v="22.492401039592281"/>
    <n v="16.352573683261884"/>
    <n v="16.352573683261884"/>
    <n v="14.661664210290629"/>
    <n v="-87.386360884083658"/>
    <n v="-44.9427424571590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7"/>
    <s v="NO_PATTERN"/>
    <n v="0"/>
  </r>
  <r>
    <d v="2021-10-22T00:00:00"/>
    <n v="56.549999237060547"/>
    <n v="53.110000610351563"/>
    <n v="56.549999237060547"/>
    <n v="54.869998931884766"/>
    <n v="4000800"/>
    <n v="54.869998931884766"/>
    <n v="56.959999084472656"/>
    <n v="-3.6692418998960696E-2"/>
    <n v="-3.7382519425961908E-2"/>
    <n v="1.6800003051757813"/>
    <n v="1.7599983215332031"/>
    <n v="0"/>
    <n v="3.0156171832428309E-2"/>
    <n v="1.0476178582295266"/>
    <n v="0"/>
    <n v="0.4702926798761059"/>
    <n v="0.50291549064466068"/>
    <n v="-3.1748707004887473E-2"/>
    <n v="-81.585934950453378"/>
    <n v="-51.515106972705922"/>
    <n v="-35.186634885174691"/>
    <n v="-22.727150362522682"/>
    <n v="-3.0200004577636719"/>
    <n v="-0.61999977959526908"/>
    <n v="-4000800"/>
    <n v="76560300"/>
    <n v="-72.142932383152825"/>
    <n v="-12.118074777771309"/>
    <n v="21.984449159686335"/>
    <n v="-65.712227034451956"/>
    <n v="-78.96942140493681"/>
    <n v="2.6778575352260043"/>
    <n v="-80.101866851254357"/>
    <n v="-83.66027214657683"/>
    <n v="57.039999643961586"/>
    <n v="57.894999980926514"/>
    <n v="58.017499732971189"/>
    <n v="1.4672527540219984"/>
    <n v="48.803249855041507"/>
    <n v="60.952005241015186"/>
    <n v="55.082994224927191"/>
    <n v="-0.11084392978903793"/>
    <n v="-3.8818169708156208E-3"/>
    <n v="0.10115932336106259"/>
    <n v="47.497355416287036"/>
    <n v="-83.48209496834086"/>
    <n v="21.394186391995362"/>
    <n v="37.301706499068878"/>
    <n v="-86.619636297952297"/>
    <n v="54.348125327005675"/>
    <n v="57.492243908702761"/>
    <n v="-4.7790140839500145E-2"/>
    <n v="-9.5878612714592926"/>
    <n v="57.76806909030018"/>
    <n v="58.536886322291934"/>
    <n v="-6.6828639726405265E-2"/>
    <n v="58.865339648004671"/>
    <n v="59.350629686543023"/>
    <n v="-8.1659027553845617E-2"/>
    <n v="-41.360507687212852"/>
    <n v="50.483927173135015"/>
    <n v="7.9935699729001081E-2"/>
    <n v="-1.0972705577044906"/>
    <n v="-1.007899440959287"/>
    <n v="-8.9371116745203594E-2"/>
    <n v="-81.814475115351215"/>
    <n v="83.224339484072644"/>
    <n v="2529977.777777778"/>
    <n v="3015350"/>
    <n v="3557619.5"/>
    <n v="0.58135776335321343"/>
    <n v="0.32681114961778901"/>
    <n v="20.091308889944656"/>
    <n v="32.991877959430674"/>
    <n v="32.991877959430674"/>
    <n v="37.286399703560257"/>
    <n v="-81.280917804614617"/>
    <n v="83.539488428090067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68"/>
    <s v="CDLLONGLINE_Bull"/>
    <n v="1"/>
  </r>
  <r>
    <d v="2021-10-22T00:00:00"/>
    <n v="8.8400001525878906"/>
    <n v="7.9600000381469727"/>
    <n v="8.8400001525878906"/>
    <n v="8.2899999618530273"/>
    <n v="19423100"/>
    <n v="8.2899999618530273"/>
    <n v="8.869999885559082"/>
    <n v="-6.5388943764286944E-2"/>
    <n v="-6.7624818873829207E-2"/>
    <n v="0.55000019073486328"/>
    <n v="0.32999992370605469"/>
    <n v="0"/>
    <n v="6.421484962760772E-2"/>
    <n v="0.5999996532094598"/>
    <n v="0"/>
    <n v="0.39470767510054378"/>
    <n v="0.55568934904657463"/>
    <n v="-6.4236929364986622E-2"/>
    <n v="-86.628944294368523"/>
    <n v="-80.916813266485391"/>
    <n v="47.524480213999958"/>
    <n v="-5.0338382108723874"/>
    <n v="-1.3299999237060547"/>
    <n v="0.45777787102593315"/>
    <n v="-19423100"/>
    <n v="-32841200"/>
    <n v="-88.642004769014349"/>
    <n v="77.620842371412238"/>
    <n v="26.01495016908104"/>
    <n v="-83.084495761471715"/>
    <n v="-85.611187274752481"/>
    <n v="0.46857145854404997"/>
    <n v="79.474422093892258"/>
    <n v="65.772439120117596"/>
    <n v="8.8766667048136387"/>
    <n v="9.4850000143051147"/>
    <n v="9.3114999771118168"/>
    <n v="0.51531568939502226"/>
    <n v="11.338249979019166"/>
    <n v="10.342131355901861"/>
    <n v="8.2808685983217725"/>
    <n v="-0.24754299197730392"/>
    <n v="1.1014913839895583E-3"/>
    <n v="0.22136742336323759"/>
    <n v="70.421364240318908"/>
    <n v="65.828239221932193"/>
    <n v="5.7332518184000207"/>
    <n v="28.730416138027351"/>
    <n v="-88.828973974684956"/>
    <n v="78.427243239943351"/>
    <n v="9.2148933920236118"/>
    <n v="-0.11156736241574687"/>
    <n v="28.277679195349112"/>
    <n v="9.2721770358033577"/>
    <n v="9.3694152708837173"/>
    <n v="-0.13020691363060188"/>
    <n v="9.4222755274094343"/>
    <n v="9.7409121420660192"/>
    <n v="-0.17501956416036893"/>
    <n v="-39.802072898207342"/>
    <n v="11.094079839105051"/>
    <n v="-0.33824847890894805"/>
    <n v="-0.15009849160607658"/>
    <n v="-9.4933701316158414E-2"/>
    <n v="-5.5164790289918164E-2"/>
    <n v="-87.403002242267789"/>
    <n v="78.622650218017782"/>
    <n v="7569455.555555556"/>
    <n v="7126780"/>
    <n v="4877336"/>
    <n v="1.565983756354119"/>
    <n v="1.7253682588770807"/>
    <n v="14.864859640207076"/>
    <n v="33.145420684570531"/>
    <n v="33.145420684570531"/>
    <n v="51.048468717463514"/>
    <n v="-88.736858919008156"/>
    <n v="88.141804611118175"/>
    <n v="1"/>
    <n v="0"/>
    <n v="1"/>
    <n v="0"/>
    <n v="0"/>
    <n v="0"/>
    <n v="-1"/>
    <n v="0"/>
    <n v="-1"/>
    <n v="-1"/>
    <n v="0"/>
    <n v="-1"/>
    <n v="0"/>
    <n v="0"/>
    <n v="0"/>
    <n v="0"/>
    <n v="1"/>
    <n v="1"/>
    <n v="0"/>
    <n v="0"/>
    <n v="0"/>
    <n v="0"/>
    <x v="69"/>
    <s v="NO_PATTERN"/>
    <n v="0"/>
  </r>
  <r>
    <d v="2021-10-22T00:00:00"/>
    <n v="37.349998474121094"/>
    <n v="36.299999237060547"/>
    <n v="37.340000152587891"/>
    <n v="36.819999694824219"/>
    <n v="4384400"/>
    <n v="36.819999694824219"/>
    <n v="37.349998474121094"/>
    <n v="-1.4190061605065307E-2"/>
    <n v="-1.4291703208691059E-2"/>
    <n v="0.52000045776367188"/>
    <n v="0.52000045776367188"/>
    <n v="9.998321533203125E-3"/>
    <n v="1.4023744844487559E-2"/>
    <n v="1"/>
    <n v="1.9227524483732533E-2"/>
    <n v="0.21877683391882974"/>
    <n v="0.17588184643553872"/>
    <n v="2.4190324371860854E-2"/>
    <n v="-79.49014997255901"/>
    <n v="21.136639811718723"/>
    <n v="74.113913255357119"/>
    <n v="58.800313793134727"/>
    <n v="0.23999786376953125"/>
    <n v="1.3022219340006511"/>
    <n v="-4384400"/>
    <n v="9252900"/>
    <n v="-84.000790004892295"/>
    <n v="80.151597448512277"/>
    <n v="20.921371881135524"/>
    <n v="-84.551573353307759"/>
    <n v="-84.988892944547956"/>
    <n v="0.70357131958007813"/>
    <n v="10.350271333588275"/>
    <n v="-2.4378122013322399"/>
    <n v="37.293332417805992"/>
    <n v="37.496249675750732"/>
    <n v="36.743499755859375"/>
    <n v="0.76130272014369338"/>
    <n v="36.005549411773679"/>
    <n v="38.266105196146761"/>
    <n v="35.220894315571989"/>
    <n v="-3.9275000361442713E-2"/>
    <n v="4.3430347433626282E-2"/>
    <n v="8.287754026721858E-2"/>
    <n v="71.824618852000555"/>
    <n v="58.385238322664009"/>
    <n v="21.964752546287741"/>
    <n v="45.846729907908511"/>
    <n v="-88.029679598315582"/>
    <n v="85.770173756976618"/>
    <n v="37.205886884733168"/>
    <n v="-1.048036917727605E-2"/>
    <n v="72.011187741720519"/>
    <n v="37.137477259752067"/>
    <n v="37.077585248275092"/>
    <n v="-6.9958054205818496E-3"/>
    <n v="37.113773536098698"/>
    <n v="37.395922891573356"/>
    <n v="-1.5641586135865582E-2"/>
    <n v="-18.638774877476578"/>
    <n v="35.677454947717315"/>
    <n v="3.1030547435542503E-2"/>
    <n v="2.370372365336948E-2"/>
    <n v="-0.11537448478195397"/>
    <n v="0.13907820843532345"/>
    <n v="-86.742557758294325"/>
    <n v="86.155075159455421"/>
    <n v="2584822.222222222"/>
    <n v="2439360"/>
    <n v="2037514.5"/>
    <n v="0.69620949646225405"/>
    <n v="0.79735668372032009"/>
    <n v="57.003262995444729"/>
    <n v="72.421268534004696"/>
    <n v="72.421268534004696"/>
    <n v="79.515032228189398"/>
    <n v="-66.445162266387726"/>
    <n v="81.615459595674679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70"/>
    <s v="CDLSPINNINGTOP_Bear"/>
    <n v="-1"/>
  </r>
  <r>
    <d v="2021-10-22T00:00:00"/>
    <n v="19.159999847412109"/>
    <n v="18.319999694824219"/>
    <n v="18.950000762939453"/>
    <n v="18.809999465942383"/>
    <n v="2020000"/>
    <n v="18.809999465942383"/>
    <n v="19.040000915527344"/>
    <n v="-1.2079907485581742E-2"/>
    <n v="-1.2153462526916674E-2"/>
    <n v="0.14000129699707031"/>
    <n v="0.48999977111816406"/>
    <n v="0.20999908447265625"/>
    <n v="7.4153228892189591E-3"/>
    <n v="3.4999659405185217"/>
    <n v="1.4999795643111129"/>
    <n v="0.27063839682609536"/>
    <n v="0.2452347345541771"/>
    <n v="5.3305235672378333E-3"/>
    <n v="-83.434051519115314"/>
    <n v="-66.94049669276518"/>
    <n v="60.034463652734594"/>
    <n v="7.5344538687124958"/>
    <n v="-0.31000137329101563"/>
    <n v="0.58111106024848092"/>
    <n v="-2020000"/>
    <n v="-50954500"/>
    <n v="-80.197797669247436"/>
    <n v="44.948979588303501"/>
    <n v="15.858466181217917"/>
    <n v="-63.630914117217422"/>
    <n v="55.016845814590539"/>
    <n v="0.50571455274309429"/>
    <n v="37.621817267490002"/>
    <n v="-35.366403724327235"/>
    <n v="19.146666844685871"/>
    <n v="19.597500085830688"/>
    <n v="19.329000091552736"/>
    <n v="0.49951443910669957"/>
    <n v="20.278894433975221"/>
    <n v="20.328028969766134"/>
    <n v="18.329971213339338"/>
    <n v="-8.0703325195320391E-2"/>
    <n v="2.5519844031478583E-2"/>
    <n v="0.10337098385653162"/>
    <n v="-36.235971341289869"/>
    <n v="30.594131603797681"/>
    <n v="12.289914758357511"/>
    <n v="39.23503400820703"/>
    <n v="-88.82245159700669"/>
    <n v="80.354021003243815"/>
    <n v="19.342575225101523"/>
    <n v="-2.831343829240552E-2"/>
    <n v="54.757175404426675"/>
    <n v="19.343706654904359"/>
    <n v="19.307348580605169"/>
    <n v="-2.6440676703010663E-2"/>
    <n v="19.295593194616334"/>
    <n v="19.338005661005521"/>
    <n v="-2.8070505585029548E-2"/>
    <n v="12.387036900334792"/>
    <n v="20.734419746028941"/>
    <n v="-0.10230836441919826"/>
    <n v="4.8113460288025323E-2"/>
    <n v="7.3239797245494537E-2"/>
    <n v="-2.5126336957469214E-2"/>
    <n v="-84.088759396480356"/>
    <n v="64.5427218659933"/>
    <n v="1205111.111111111"/>
    <n v="1502020"/>
    <n v="1949358.5"/>
    <n v="0.67619398856721391"/>
    <n v="0.34485559446611891"/>
    <n v="30.150747507509578"/>
    <n v="47.068691968886903"/>
    <n v="47.068691968886903"/>
    <n v="62.479065508584341"/>
    <n v="-87.176764577253977"/>
    <n v="85.76547355076174"/>
    <n v="1"/>
    <n v="0"/>
    <n v="1"/>
    <n v="1"/>
    <n v="0"/>
    <n v="1"/>
    <n v="-1"/>
    <n v="0"/>
    <n v="-1"/>
    <n v="-1"/>
    <n v="0"/>
    <n v="-1"/>
    <n v="0"/>
    <n v="0"/>
    <n v="0"/>
    <n v="0"/>
    <n v="0"/>
    <n v="0"/>
    <n v="0"/>
    <n v="0"/>
    <n v="0"/>
    <n v="0"/>
    <x v="71"/>
    <s v="CDLCLOSINGMARUBOZU_Bull"/>
    <n v="1"/>
  </r>
  <r>
    <d v="2021-10-22T00:00:00"/>
    <n v="24.770000457763672"/>
    <n v="23.799999237060547"/>
    <n v="24.319999694824219"/>
    <n v="24.629999160766602"/>
    <n v="7667700"/>
    <n v="24.629999160766602"/>
    <n v="24.569999694824219"/>
    <n v="2.4419807361666379E-3"/>
    <n v="2.4390039463993386E-3"/>
    <n v="0.30999946594238281"/>
    <n v="0.52000045776367188"/>
    <n v="0.14000129699707031"/>
    <n v="1.2665964175277045E-2"/>
    <n v="1.6774237213051209"/>
    <n v="0.45161786511945562"/>
    <n v="0.22579997610342856"/>
    <n v="0.23416372221397053"/>
    <n v="4.0602079250676812E-2"/>
    <n v="69.517703741312474"/>
    <n v="58.565168073345284"/>
    <n v="79.477465184552742"/>
    <n v="69.37076609773024"/>
    <n v="0.68999862670898438"/>
    <n v="0.93999968634711373"/>
    <n v="7667700"/>
    <n v="14510500"/>
    <n v="89.027154887945741"/>
    <n v="88.016677476553923"/>
    <n v="15.276041976053307"/>
    <n v="85.086348566448223"/>
    <n v="80.47410660894306"/>
    <n v="0.69071442740304134"/>
    <n v="72.697537663076957"/>
    <n v="31.637190219859772"/>
    <n v="24.643332799275715"/>
    <n v="24.507499694824219"/>
    <n v="24.021999835968018"/>
    <n v="0.52828010785609625"/>
    <n v="25.016757726669312"/>
    <n v="25.07856005168021"/>
    <n v="22.965439620255825"/>
    <n v="-1.8211973455042819E-2"/>
    <n v="6.7582606464813511E-2"/>
    <n v="8.7966049698344442E-2"/>
    <n v="69.014872186372557"/>
    <n v="53.111832449843391"/>
    <n v="63.142174418317644"/>
    <n v="60.205043850899898"/>
    <n v="75.348270967452365"/>
    <n v="86.271952759298799"/>
    <n v="24.423256957165165"/>
    <n v="8.3939184184284622E-3"/>
    <n v="78.055442321350299"/>
    <n v="24.341452072589515"/>
    <n v="24.189698652918707"/>
    <n v="1.7876594512810769E-2"/>
    <n v="24.138691754744713"/>
    <n v="24.042286156049389"/>
    <n v="2.3861673761377423E-2"/>
    <n v="56.877376643265258"/>
    <n v="24.70033813078447"/>
    <n v="-2.8558251081840062E-3"/>
    <n v="0.20276031784480253"/>
    <n v="0.11852699540955663"/>
    <n v="8.4233322435245894E-2"/>
    <n v="32.512999820350672"/>
    <n v="82.066822574240248"/>
    <n v="4405133.333333333"/>
    <n v="3208615"/>
    <n v="2233919"/>
    <n v="0.74062835782496195"/>
    <n v="1.3897226685033885"/>
    <n v="72.516545625759065"/>
    <n v="72.958057046593424"/>
    <n v="72.958057046593424"/>
    <n v="73.696786703976002"/>
    <n v="-72.418917316872196"/>
    <n v="84.5691101848317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2"/>
    <s v="CDLRICKSHAWMAN_Bull"/>
    <n v="1"/>
  </r>
  <r>
    <d v="2021-10-22T00:00:00"/>
    <n v="3.0499999523162842"/>
    <n v="2.7999999523162842"/>
    <n v="3.0099999904632568"/>
    <n v="2.9700000286102295"/>
    <n v="8860000"/>
    <n v="2.9700000286102295"/>
    <n v="3.0499999523162842"/>
    <n v="-2.6229483592384861E-2"/>
    <n v="-2.6579612537632805E-2"/>
    <n v="3.9999961853027344E-2"/>
    <n v="0.17000007629394531"/>
    <n v="3.9999961853027344E-2"/>
    <n v="1.3377913620550373E-2"/>
    <n v="4.2500059604701619"/>
    <n v="1"/>
    <n v="0.50704701322247669"/>
    <n v="0.41004448366311075"/>
    <n v="-7.4588862259159866E-2"/>
    <n v="-78.469634732405297"/>
    <n v="-71.970447930667788"/>
    <n v="-52.277465805014444"/>
    <n v="-42.023826120210266"/>
    <n v="-0.32999992370605469"/>
    <n v="-7.0000039206610784E-2"/>
    <n v="-8860000"/>
    <n v="-38849300"/>
    <n v="-83.942309855887061"/>
    <n v="-71.069649516005242"/>
    <n v="20.525155254804563"/>
    <n v="84.356579603729585"/>
    <n v="-80.929511740989113"/>
    <n v="0.13714284556252615"/>
    <n v="2.4916693216031542"/>
    <n v="-1.5886732719134098"/>
    <n v="3.0366666316986084"/>
    <n v="3.1824999749660492"/>
    <n v="3.2450000047683716"/>
    <n v="0.11695703862636088"/>
    <n v="3.6957499969005583"/>
    <n v="3.4789140820210935"/>
    <n v="3.0110859275156496"/>
    <n v="-0.17135153148432908"/>
    <n v="-1.3833635861830519E-2"/>
    <n v="0.14416892259414266"/>
    <n v="75.913536564230114"/>
    <n v="21.314587517951331"/>
    <n v="6.045708524040279"/>
    <n v="29.569126079976428"/>
    <n v="-87.596505007204286"/>
    <n v="-79.71321938874209"/>
    <n v="3.1453963016015254"/>
    <n v="-5.9055983603262849E-2"/>
    <n v="-49.88589440089099"/>
    <n v="3.1736798496127747"/>
    <n v="3.23358581244959"/>
    <n v="-8.874942131320511E-2"/>
    <n v="3.2630808429833111"/>
    <n v="3.3937135307565685"/>
    <n v="-0.14266447746285371"/>
    <n v="-37.408963374623184"/>
    <n v="3.7516968389657932"/>
    <n v="-0.26319757670889582"/>
    <n v="-8.9400993370536419E-2"/>
    <n v="-6.9359159324120401E-2"/>
    <n v="-2.0041834046416018E-2"/>
    <n v="-79.787454071470151"/>
    <n v="-47.976435941902722"/>
    <n v="3876188.888888889"/>
    <n v="3219885"/>
    <n v="5258826"/>
    <n v="1.2857503217650783"/>
    <n v="1.7516510682834947"/>
    <n v="27.419361661300329"/>
    <n v="19.10468920532816"/>
    <n v="19.10468920532816"/>
    <n v="17.51151454347535"/>
    <n v="-88.781443639715548"/>
    <n v="-66.0653619273518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3"/>
    <s v="CDLRICKSHAWMAN_Bull"/>
    <n v="1"/>
  </r>
  <r>
    <d v="2021-10-22T00:00:00"/>
    <n v="19.770000457763672"/>
    <n v="18.829999923706055"/>
    <n v="19.649999618530273"/>
    <n v="19.5"/>
    <n v="4106300"/>
    <n v="19.5"/>
    <n v="20.020000457763672"/>
    <n v="-2.5974048245439363E-2"/>
    <n v="-2.6317331182691417E-2"/>
    <n v="0.14999961853027344"/>
    <n v="0.67000007629394531"/>
    <n v="0.12000083923339844"/>
    <n v="7.6628158361093015E-3"/>
    <n v="4.4666785346438971"/>
    <n v="0.80000762941393389"/>
    <n v="0.2692622963726084"/>
    <n v="0.23293050503314686"/>
    <n v="-8.0752486000509216E-2"/>
    <n v="-86.083939131081323"/>
    <n v="-82.470731840057937"/>
    <n v="-71.445630669432148"/>
    <n v="-76.039502501481209"/>
    <n v="-1.7700004577636719"/>
    <n v="-0.74555502997504342"/>
    <n v="-4106300"/>
    <n v="-55249300"/>
    <n v="-86.391493447248948"/>
    <n v="68.931642494383937"/>
    <n v="36.663061304043879"/>
    <n v="85.315175857763563"/>
    <n v="82.480716083817185"/>
    <n v="0.67500019073486328"/>
    <n v="81.954044633415137"/>
    <n v="55.479622123828882"/>
    <n v="19.963333765665691"/>
    <n v="20.783750295639038"/>
    <n v="21.377000045776366"/>
    <n v="0.87430026589471843"/>
    <n v="25.0383304977417"/>
    <n v="23.125600577565802"/>
    <n v="19.628399513986931"/>
    <n v="-0.18592823474696418"/>
    <n v="-6.584590460868265E-3"/>
    <n v="0.16359643804509613"/>
    <n v="-52.91370993323229"/>
    <n v="-55.446380829583624"/>
    <n v="4.7191170105029983"/>
    <n v="15.615532918861106"/>
    <n v="-88.326837186520876"/>
    <n v="52.230620041917376"/>
    <n v="20.623540803586444"/>
    <n v="-5.761747710699712E-2"/>
    <n v="-77.517829758403764"/>
    <n v="20.852211258928961"/>
    <n v="21.410079011921898"/>
    <n v="-9.795276984214861E-2"/>
    <n v="21.656787958320905"/>
    <n v="22.50010572140247"/>
    <n v="-0.15385157545653691"/>
    <n v="-77.350848390029739"/>
    <n v="24.447801561338967"/>
    <n v="-0.25373341340199829"/>
    <n v="-0.80457669939194432"/>
    <n v="-0.68102277364770658"/>
    <n v="-0.12355392574423774"/>
    <n v="-83.058711274472046"/>
    <n v="77.183091441952712"/>
    <n v="1815100"/>
    <n v="2184830"/>
    <n v="1840021"/>
    <n v="1.262299597818302"/>
    <n v="0.87945972913224368"/>
    <n v="22.185429627056557"/>
    <n v="13.684073060334194"/>
    <n v="13.684073060334194"/>
    <n v="13.605231253453757"/>
    <n v="-87.142668771186834"/>
    <n v="81.4372409556437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4"/>
    <s v="CDLBELTHOLD_Bear"/>
    <n v="-1"/>
  </r>
  <r>
    <d v="2021-10-22T00:00:00"/>
    <n v="21.430000305175781"/>
    <n v="20.040000915527344"/>
    <n v="21"/>
    <n v="21"/>
    <n v="5316200"/>
    <n v="21"/>
    <n v="21.569999694824219"/>
    <n v="-2.6425577324462934E-2"/>
    <n v="-2.6781008529483331E-2"/>
    <n v="0"/>
    <n v="0.95999908447265625"/>
    <n v="0.43000030517578125"/>
    <n v="0"/>
    <m/>
    <m/>
    <n v="0.38764896910883467"/>
    <n v="0.42835491967679851"/>
    <n v="-0.10393089010404882"/>
    <n v="-87.243079796022585"/>
    <n v="-83.604030195553776"/>
    <n v="-67.284625880513104"/>
    <n v="-66.138619249735953"/>
    <n v="-3.5"/>
    <n v="-0.3573727077907986"/>
    <n v="-5316200"/>
    <n v="109646300"/>
    <n v="-84.62146140373936"/>
    <n v="-5.2764423877996691"/>
    <n v="19.726375945136478"/>
    <n v="86.151061727512811"/>
    <n v="-65.287058673052712"/>
    <n v="1.0471427100045341"/>
    <n v="84.348441480515817"/>
    <n v="59.85442395663113"/>
    <n v="21.799999872843426"/>
    <n v="23.576250076293945"/>
    <n v="23.979598045349121"/>
    <n v="1.1643423981855074"/>
    <n v="25.938158149719239"/>
    <n v="26.308282841720136"/>
    <n v="21.650913248978107"/>
    <n v="-0.25277537341524453"/>
    <n v="-3.0995868998957461E-2"/>
    <n v="0.19422217102781389"/>
    <n v="80.864491863466384"/>
    <n v="36.231630928389137"/>
    <n v="5.7877024861584516"/>
    <n v="24.865823923813693"/>
    <n v="-88.977305082464056"/>
    <n v="-64.029119231880955"/>
    <n v="23.076568969630031"/>
    <n v="-9.8884236649049106E-2"/>
    <n v="-69.103292065745649"/>
    <n v="23.359121930167355"/>
    <n v="23.8737089838821"/>
    <n v="-0.13684328494676667"/>
    <n v="24.075614130914708"/>
    <n v="24.768055260028021"/>
    <n v="-0.17943120285847719"/>
    <n v="-56.887217347708493"/>
    <n v="25.252243131270294"/>
    <n v="-0.2024877681557283"/>
    <n v="-0.71649220074735354"/>
    <n v="-0.43315653874256221"/>
    <n v="-0.28333566200479132"/>
    <n v="-87.897502341687314"/>
    <n v="50.446004268505156"/>
    <n v="3063411.111111111"/>
    <n v="2661885"/>
    <n v="2853925.5"/>
    <n v="0.73538575371680803"/>
    <n v="0.99715615062258522"/>
    <n v="17.87708147896624"/>
    <n v="8.3989655910241261"/>
    <n v="8.3989655910241261"/>
    <n v="20.169479386160891"/>
    <n v="-88.850427300837893"/>
    <n v="85.8312018213338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5"/>
    <s v="CDLHANGINGMAN_Bear"/>
    <n v="-1"/>
  </r>
  <r>
    <d v="2021-10-22T00:00:00"/>
    <n v="44.450000762939453"/>
    <n v="42"/>
    <n v="43.869998931884766"/>
    <n v="43.650001525878906"/>
    <n v="4562400"/>
    <n v="43.650001525878906"/>
    <n v="44.409999847412109"/>
    <n v="-1.7113225042658775E-2"/>
    <n v="-1.7261348625375827E-2"/>
    <n v="0.21999740600585938"/>
    <n v="1.6500015258789063"/>
    <n v="0.5800018310546875"/>
    <n v="5.0273629994329822E-3"/>
    <n v="7.5000953685561198"/>
    <n v="2.636403044857901"/>
    <n v="0.38828242775512117"/>
    <n v="0.32041001425692689"/>
    <n v="-7.032074505274119E-2"/>
    <n v="-83.436295233542495"/>
    <n v="-79.088489161053559"/>
    <n v="-74.211398476930029"/>
    <n v="-80.606985269413059"/>
    <n v="-3.6399993896484375"/>
    <n v="-4.0722215440538196"/>
    <n v="-4562400"/>
    <n v="-17792400"/>
    <n v="-86.372627296073929"/>
    <n v="-80.341242584654552"/>
    <n v="43.809360857621073"/>
    <n v="87.926497781177829"/>
    <n v="87.834595456230275"/>
    <n v="1.9699995858328683"/>
    <n v="-46.870576012118939"/>
    <n v="-66.50872628871852"/>
    <n v="44.616667429606117"/>
    <n v="46.241250514984131"/>
    <n v="49.150500106811521"/>
    <n v="3.7421922121529692"/>
    <n v="46.346899909973146"/>
    <n v="56.634884531117457"/>
    <n v="41.666115682505584"/>
    <n v="-0.29747726348967396"/>
    <n v="4.5449845911165201E-2"/>
    <n v="0.30454967530508253"/>
    <n v="-68.450015708185447"/>
    <n v="82.14104157214507"/>
    <n v="7.22930834137955"/>
    <n v="18.267189773031305"/>
    <n v="-85.336750528050359"/>
    <n v="12.469113504942809"/>
    <n v="46.170815931260293"/>
    <n v="-5.7750614370239234E-2"/>
    <n v="-78.858648354710439"/>
    <n v="46.927552529837605"/>
    <n v="48.912953126900696"/>
    <n v="-0.12057162467454963"/>
    <n v="49.764694688173606"/>
    <n v="51.794819848853265"/>
    <n v="-0.18659376949037484"/>
    <n v="-75.945498584135677"/>
    <n v="47.81512267592521"/>
    <n v="-9.5420870663129667E-2"/>
    <n v="-2.8371421583360004"/>
    <n v="-2.5104149575400121"/>
    <n v="-0.32672720079598827"/>
    <n v="-0.13744089734405304"/>
    <n v="84.734129567508973"/>
    <n v="2556766.6666666665"/>
    <n v="2690030"/>
    <n v="1909161"/>
    <n v="0.78444128652073597"/>
    <n v="0.69604056460336872"/>
    <n v="15.449452048042325"/>
    <n v="10.360441543321835"/>
    <n v="10.360441543321835"/>
    <n v="8.1523720030623199"/>
    <n v="-81.981516619880537"/>
    <n v="-18.948271114854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6"/>
    <s v="CDLLONGLINE_Bear"/>
    <n v="-1"/>
  </r>
  <r>
    <d v="2021-10-22T00:00:00"/>
    <n v="2.4100000858306885"/>
    <n v="2.2100000381469727"/>
    <n v="2.3399999141693115"/>
    <n v="2.2899999618530273"/>
    <n v="17005400"/>
    <n v="2.2899999618530273"/>
    <n v="2.3399999141693115"/>
    <n v="-2.1367501773620345E-2"/>
    <n v="-2.1599091781746526E-2"/>
    <n v="4.999995231628418E-2"/>
    <n v="7.9999923706054688E-2"/>
    <n v="7.0000171661376953E-2"/>
    <n v="2.1598252118848627E-2"/>
    <n v="1.6"/>
    <n v="1.4000047683761294"/>
    <n v="0.5065079773527299"/>
    <n v="0.57934158449811302"/>
    <n v="-9.5707093046406636E-2"/>
    <n v="-81.505652710130335"/>
    <n v="-69.51234777509454"/>
    <n v="-38.985586300245814"/>
    <n v="-43.238042531014791"/>
    <n v="-0.34000015258789063"/>
    <n v="-4.8888895246717662E-2"/>
    <n v="-17005400"/>
    <n v="-110949202"/>
    <n v="-87.894533233246904"/>
    <n v="79.762197329597996"/>
    <n v="25.443128663619412"/>
    <n v="78.931031400298835"/>
    <n v="-81.552822146160921"/>
    <n v="0.17785714353833879"/>
    <n v="66.30164163400103"/>
    <n v="66.562962746858545"/>
    <n v="2.3866666158040366"/>
    <n v="2.5712499916553497"/>
    <n v="2.6330000042915342"/>
    <n v="0.15376333819203486"/>
    <n v="4.1330499958992002"/>
    <n v="2.9405266806756041"/>
    <n v="2.3254733279074644"/>
    <n v="-0.28407280771139493"/>
    <n v="-1.5490553120242261E-2"/>
    <n v="0.23359413283921854"/>
    <n v="-3.3353825079073327"/>
    <n v="-5.7101004239996707"/>
    <n v="7.4931252374114479"/>
    <n v="26.498860046075009"/>
    <n v="-88.425326365452733"/>
    <n v="-39.976979053287081"/>
    <n v="2.5219843216161699"/>
    <n v="-0.10130321555788366"/>
    <n v="-38.523314103245994"/>
    <n v="2.5591939012499965"/>
    <n v="2.6504938118880457"/>
    <n v="-0.15742089783412622"/>
    <n v="2.6998794610910903"/>
    <n v="2.9500001559060243"/>
    <n v="-0.28820969652721584"/>
    <n v="-50.625287956745716"/>
    <n v="3.9119474755864352"/>
    <n v="-0.70827403526284638"/>
    <n v="-0.14068555984109388"/>
    <n v="-0.12517537390379188"/>
    <n v="-1.5510185937301996E-2"/>
    <n v="-84.748093745855243"/>
    <n v="56.637703467779176"/>
    <n v="13213711.111111112"/>
    <n v="10077730"/>
    <n v="7343070.5"/>
    <n v="0.28695109625187287"/>
    <n v="0.6874236559225142"/>
    <n v="12.307683278821052"/>
    <n v="12.316841302918151"/>
    <n v="12.316841302918151"/>
    <n v="22.954815301843126"/>
    <n v="-87.996597733281661"/>
    <n v="85.7117846428085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7"/>
    <s v="CDLSPINNINGTOP_Bull"/>
    <n v="1"/>
  </r>
  <r>
    <d v="2021-10-22T00:00:00"/>
    <n v="4.559999942779541"/>
    <n v="4.0999999046325684"/>
    <n v="4.5"/>
    <n v="4.5"/>
    <n v="12425800"/>
    <n v="4.5"/>
    <n v="4.570000171661377"/>
    <n v="-1.5317323639383873E-2"/>
    <n v="-1.5435845692503142E-2"/>
    <n v="0"/>
    <n v="0.40000009536743164"/>
    <n v="5.9999942779541016E-2"/>
    <n v="0"/>
    <m/>
    <m/>
    <n v="0.56258750255608836"/>
    <n v="0.69326706225377288"/>
    <n v="-0.14072762635585512"/>
    <n v="-84.706114392217401"/>
    <n v="-76.578292725747232"/>
    <n v="-58.130552619129702"/>
    <n v="-50.064439619602652"/>
    <n v="-0.90000009536743164"/>
    <n v="-0.15555556615193686"/>
    <n v="-12425800"/>
    <n v="14198900"/>
    <n v="-87.97585107250444"/>
    <n v="-69.458288969717159"/>
    <n v="26.645573530076156"/>
    <n v="6.396134349738368"/>
    <n v="-82.755791751738315"/>
    <n v="0.31642862728663851"/>
    <n v="69.960702474161209"/>
    <n v="-14.85397825090887"/>
    <n v="4.7400000890096026"/>
    <n v="5.1425000429153442"/>
    <n v="5.2865000486373903"/>
    <n v="0.30653022734353819"/>
    <n v="6.5564000010490417"/>
    <n v="5.8995605033244667"/>
    <n v="4.6734395939503139"/>
    <n v="-0.31101344518321483"/>
    <n v="-3.8542131988958651E-2"/>
    <n v="0.23193434183173586"/>
    <n v="81.573510436470073"/>
    <n v="-47.46479797984567"/>
    <n v="9.3722956720648511"/>
    <n v="27.703831248159901"/>
    <n v="-88.593988228733011"/>
    <n v="-68.1464522575845"/>
    <n v="5.0415226504528592"/>
    <n v="-0.12033836676730204"/>
    <n v="-57.175649454739514"/>
    <n v="5.1218061875753538"/>
    <n v="5.3184963907406715"/>
    <n v="-0.18188808683126034"/>
    <n v="5.4287741110629533"/>
    <n v="5.9237432279554856"/>
    <n v="-0.31638738399010791"/>
    <n v="-63.506284299356665"/>
    <n v="6.7987905981393766"/>
    <n v="-0.51084235514208365"/>
    <n v="-0.30696792348759949"/>
    <n v="-0.2751144726245176"/>
    <n v="-3.1853450863081889E-2"/>
    <n v="-83.66138012048836"/>
    <n v="-26.044379682370629"/>
    <n v="6308922.222222222"/>
    <n v="5763710"/>
    <n v="6598281"/>
    <n v="0.9695598649531616"/>
    <n v="1.1558683556251097"/>
    <n v="25.000007450581041"/>
    <n v="16.338274555190893"/>
    <n v="16.338274555190893"/>
    <n v="26.527105438905082"/>
    <n v="-87.672991272821264"/>
    <n v="84.7424329996103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8"/>
    <s v="CDLCLOSINGMARUBOZU_Bull"/>
    <n v="1"/>
  </r>
  <r>
    <d v="2021-10-22T00:00:00"/>
    <n v="15.680000305175781"/>
    <n v="14.569999694824219"/>
    <n v="15.640000343322754"/>
    <n v="15.289999961853027"/>
    <n v="4313500"/>
    <n v="15.289999961853027"/>
    <n v="15.840000152587891"/>
    <n v="-3.4722233929082802E-2"/>
    <n v="-3.5339378573279609E-2"/>
    <n v="0.35000038146972656"/>
    <n v="0.72000026702880859"/>
    <n v="3.9999961853027344E-2"/>
    <n v="2.263177355424455E-2"/>
    <n v="2.0571413779761416"/>
    <n v="0.11428548073307503"/>
    <n v="0.39696409471779326"/>
    <n v="0.49883193421255251"/>
    <n v="-8.5811610133685406E-2"/>
    <n v="-87.547567832406941"/>
    <n v="-81.51411055074135"/>
    <n v="-38.116357171394291"/>
    <n v="-60.461995133313259"/>
    <n v="-2.0399999618530273"/>
    <n v="8.3777003818088114E-2"/>
    <n v="-4313500"/>
    <n v="-28463000"/>
    <n v="-87.110156849494771"/>
    <n v="-25.773885291337223"/>
    <n v="21.680178517938998"/>
    <n v="-65.749033938935469"/>
    <n v="-83.296429979284142"/>
    <n v="0.79357154028756283"/>
    <n v="82.7804926400526"/>
    <n v="56.860165669673862"/>
    <n v="16.076666831970215"/>
    <n v="17.153750061988831"/>
    <n v="17.252061319351196"/>
    <n v="0.81867061720716849"/>
    <n v="18.36411008834839"/>
    <n v="18.889402553765532"/>
    <n v="15.614720084936859"/>
    <n v="-0.23540893400213489"/>
    <n v="-2.1237418174883935E-2"/>
    <n v="0.18981398270104366"/>
    <n v="72.156290046163463"/>
    <n v="38.213260450058932"/>
    <n v="9.3560783420232667"/>
    <n v="28.329250013471565"/>
    <n v="-88.979872917752218"/>
    <n v="72.747760242163494"/>
    <n v="16.800001844518214"/>
    <n v="-9.8757481127042843E-2"/>
    <n v="-31.849875464859217"/>
    <n v="16.956903656256461"/>
    <n v="17.278996739169752"/>
    <n v="-0.1300848124446741"/>
    <n v="17.430946841337832"/>
    <n v="17.984178565653327"/>
    <n v="-0.17620527210739026"/>
    <n v="-62.527436096816125"/>
    <n v="18.258373559686245"/>
    <n v="-0.19413823448260323"/>
    <n v="-0.47404318508137067"/>
    <n v="-0.3525536464003759"/>
    <n v="-0.12148953868099477"/>
    <n v="-87.5370189093383"/>
    <n v="75.674107726381891"/>
    <n v="2874433.3333333335"/>
    <n v="2479615"/>
    <n v="2412266.5"/>
    <n v="0.50064360511637074"/>
    <n v="0.73958457260502142"/>
    <n v="17.307699361496681"/>
    <n v="19.613329029922593"/>
    <n v="19.613329029922593"/>
    <n v="36.207823124913169"/>
    <n v="-87.528774990470382"/>
    <n v="87.3401843263683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9"/>
    <s v="CDLRICKSHAWMAN_Bull"/>
    <n v="1"/>
  </r>
  <r>
    <d v="2021-10-22T00:00:00"/>
    <n v="11.460000038146973"/>
    <n v="10.310000419616699"/>
    <n v="11.399999618530273"/>
    <n v="10.819999694824219"/>
    <n v="10419100"/>
    <n v="10.819999694824219"/>
    <n v="11.550000190734863"/>
    <n v="-6.320350509571715E-2"/>
    <n v="-6.5289208268094062E-2"/>
    <n v="0.57999992370605469"/>
    <n v="0.50999927520751953"/>
    <n v="6.0000419616699219E-2"/>
    <n v="5.2205215268163185E-2"/>
    <n v="0.87930921085084202"/>
    <n v="0.10344901294695268"/>
    <n v="0.38529938994717428"/>
    <n v="0.45721774217318933"/>
    <n v="-0.14192953589209301"/>
    <n v="-85.973319249516081"/>
    <n v="-81.55476345140859"/>
    <n v="-67.841919173980529"/>
    <n v="-69.244112946323668"/>
    <n v="-1.880000114440918"/>
    <n v="-0.55333328247070313"/>
    <n v="-10419100"/>
    <n v="-63988255"/>
    <n v="-86.786752925053193"/>
    <n v="-50.236358465006056"/>
    <n v="31.079661165669854"/>
    <n v="86.187030562276718"/>
    <n v="77.828115781696695"/>
    <n v="0.55928564071655273"/>
    <n v="71.433885636510595"/>
    <n v="-56.231919695675806"/>
    <n v="11.573333422342936"/>
    <n v="12.431250095367432"/>
    <n v="12.871500015258789"/>
    <n v="0.75289110427020289"/>
    <n v="16.773127932548523"/>
    <n v="14.377282223799195"/>
    <n v="11.365717806718383"/>
    <n v="-0.32876918939994182"/>
    <n v="-5.0436056126250177E-2"/>
    <n v="0.23397151952070003"/>
    <n v="81.123400402640016"/>
    <n v="60.845764338110783"/>
    <n v="4.2258292866576852"/>
    <n v="20.568569600939895"/>
    <n v="-88.507410854061106"/>
    <n v="-67.588039140027973"/>
    <n v="12.197900766367617"/>
    <n v="-0.12734760724646987"/>
    <n v="-68.560789576290333"/>
    <n v="12.386618099310022"/>
    <n v="12.778773273959894"/>
    <n v="-0.18103268339948853"/>
    <n v="12.946128459215805"/>
    <n v="13.567186330389605"/>
    <n v="-0.2538989568437337"/>
    <n v="-63.384872153716898"/>
    <n v="15.810113216605989"/>
    <n v="-0.46119349930932135"/>
    <n v="-0.55951035990578291"/>
    <n v="-0.40837128830164754"/>
    <n v="-0.15113907160413537"/>
    <n v="-85.218318434509484"/>
    <n v="24.814423937287266"/>
    <n v="2753811.111111111"/>
    <n v="2344735"/>
    <n v="2602604.085"/>
    <n v="2.7835202123925229"/>
    <n v="3.4436151633340231"/>
    <n v="16.398692331445712"/>
    <n v="11.039004790176351"/>
    <n v="11.039004790176351"/>
    <n v="14.387925167450506"/>
    <n v="-88.398594828466159"/>
    <n v="80.5633830577410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0"/>
    <s v="CDLRICKSHAWMAN_Bull"/>
    <n v="1"/>
  </r>
  <r>
    <d v="2021-10-22T00:00:00"/>
    <n v="20.350000381469727"/>
    <n v="18.840000152587891"/>
    <n v="20.319999694824219"/>
    <n v="19.879999160766602"/>
    <n v="3232900"/>
    <n v="19.879999160766602"/>
    <n v="20.549999237060547"/>
    <n v="-3.2603411249069292E-2"/>
    <n v="-3.3146744802768059E-2"/>
    <n v="0.44000053405761719"/>
    <n v="1.0399990081787109"/>
    <n v="3.0000686645507813E-2"/>
    <n v="2.1890574456890764E-2"/>
    <n v="2.3636312405987332"/>
    <n v="6.8183295981134609E-2"/>
    <n v="0.39847334440703497"/>
    <n v="0.42647097629278269"/>
    <n v="-8.6214660055517436E-2"/>
    <n v="-84.568931967519987"/>
    <n v="-77.742923480200474"/>
    <n v="-47.658742802500306"/>
    <n v="-47.783572145612709"/>
    <n v="-3.0300006866455078"/>
    <n v="-0.29444440205891925"/>
    <n v="-3232900"/>
    <n v="17880300"/>
    <n v="-86.880588890149028"/>
    <n v="-74.382124991617246"/>
    <n v="27.619316249930449"/>
    <n v="70.482097945098602"/>
    <n v="-86.57931386549285"/>
    <n v="0.97642844063895085"/>
    <n v="75.306130903883314"/>
    <n v="59.203810381667488"/>
    <n v="20.75666618347168"/>
    <n v="22.068749904632568"/>
    <n v="22.353499984741212"/>
    <n v="0.9188053883235785"/>
    <n v="26.633546352386475"/>
    <n v="24.191110761388369"/>
    <n v="20.515889208094055"/>
    <n v="-0.21685672950780574"/>
    <n v="-3.198642224202855E-2"/>
    <n v="0.1644136961014189"/>
    <n v="79.806901976285502"/>
    <n v="42.56214239874933"/>
    <n v="7.1643309626438878"/>
    <n v="25.687997123645687"/>
    <n v="-88.725447747849387"/>
    <n v="73.19684297153654"/>
    <n v="21.658762741035094"/>
    <n v="-8.9475032965740872E-2"/>
    <n v="-50.477612380253049"/>
    <n v="21.88789737435275"/>
    <n v="22.3856262022423"/>
    <n v="-0.12603758285969049"/>
    <n v="22.637947750191849"/>
    <n v="23.764216834562909"/>
    <n v="-0.19538319103462809"/>
    <n v="-52.017489907746686"/>
    <n v="26.552875665642656"/>
    <n v="-0.33565778604483293"/>
    <n v="-0.75005037583909839"/>
    <n v="-0.59981763247753683"/>
    <n v="-0.15023274336156156"/>
    <n v="-85.631308730116416"/>
    <n v="22.405726074299885"/>
    <n v="1427988.888888889"/>
    <n v="1406895"/>
    <n v="1441969.5"/>
    <n v="1.2639531898007297"/>
    <n v="1.2978971422885146"/>
    <n v="22.608672215945017"/>
    <n v="21.965773093826687"/>
    <n v="21.965773093826687"/>
    <n v="34.904946769287527"/>
    <n v="-88.808432573515987"/>
    <n v="87.2022275514495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1"/>
    <s v="CDLBELTHOLD_Bull"/>
    <n v="1"/>
  </r>
  <r>
    <d v="2021-10-22T00:00:00"/>
    <n v="24.239999771118164"/>
    <n v="22.690000534057617"/>
    <n v="23.899999618530273"/>
    <n v="23.809999465942383"/>
    <n v="5536600"/>
    <n v="23.809999465942383"/>
    <n v="23.920000076293945"/>
    <n v="-4.5986877090598011E-3"/>
    <n v="-4.6092942031773507E-3"/>
    <n v="9.0000152587890625E-2"/>
    <n v="1.1199989318847656"/>
    <n v="0.34000015258789063"/>
    <n v="3.7728004324016602E-3"/>
    <n v="12.444411477980758"/>
    <n v="3.7777730682829653"/>
    <n v="0.28605932233219239"/>
    <n v="0.27476025414487315"/>
    <n v="3.46114221396501E-2"/>
    <n v="82.022226141125813"/>
    <n v="79.857656066512817"/>
    <n v="-43.135890125222495"/>
    <n v="-77.680797392903344"/>
    <n v="0.22500038146972656"/>
    <n v="-1.0627778371175129"/>
    <n v="-5536600"/>
    <n v="-43786300"/>
    <n v="86.172015197641031"/>
    <n v="72.70957303987656"/>
    <n v="43.857581199357874"/>
    <n v="-86.956100150445081"/>
    <n v="84.331759110145669"/>
    <n v="0.85785702296665733"/>
    <n v="80.415250087936926"/>
    <n v="66.330854496886886"/>
    <n v="23.816666285196941"/>
    <n v="23.323124647140503"/>
    <n v="23.984499740600587"/>
    <n v="0.98090030620789481"/>
    <n v="24.802171344757081"/>
    <n v="25.946300353016376"/>
    <n v="22.022699128184797"/>
    <n v="-8.9722844812732544E-2"/>
    <n v="7.5065114567269289E-2"/>
    <n v="0.1635890373894173"/>
    <n v="-82.612236560050533"/>
    <n v="80.660658030826255"/>
    <n v="69.375488718531386"/>
    <n v="46.781318353506151"/>
    <n v="87.252597661784321"/>
    <n v="86.107825268191945"/>
    <n v="23.583295156224175"/>
    <n v="9.5213907939176601E-3"/>
    <n v="-57.735406672106556"/>
    <n v="23.66682295601079"/>
    <n v="24.108339808160185"/>
    <n v="-1.2530044053320774E-2"/>
    <n v="24.360082088534934"/>
    <n v="25.157934940808673"/>
    <n v="-5.6612158971039259E-2"/>
    <n v="-79.390295789166828"/>
    <n v="25.24288409536473"/>
    <n v="-6.0179952186556432E-2"/>
    <n v="-0.69325913252414395"/>
    <n v="-0.8360651247687988"/>
    <n v="0.14280599224465484"/>
    <n v="87.625062852251403"/>
    <n v="83.359733783031515"/>
    <n v="3609055.5555555555"/>
    <n v="3360975"/>
    <n v="2536173.5"/>
    <n v="0.53408555639363953"/>
    <n v="0.64731960219876683"/>
    <n v="59.47043298757621"/>
    <n v="55.656194563290107"/>
    <n v="55.656194563290107"/>
    <n v="45.097917259391096"/>
    <n v="86.948798652905566"/>
    <n v="74.364650678723081"/>
    <n v="0"/>
    <n v="1"/>
    <n v="1"/>
    <n v="0"/>
    <n v="0"/>
    <n v="0"/>
    <n v="0"/>
    <n v="0"/>
    <n v="0"/>
    <n v="0"/>
    <n v="1"/>
    <n v="1"/>
    <n v="0"/>
    <n v="0"/>
    <n v="0"/>
    <n v="0"/>
    <n v="0"/>
    <n v="0"/>
    <n v="0"/>
    <n v="0"/>
    <n v="0"/>
    <n v="0"/>
    <x v="82"/>
    <s v="CDLCLOSINGMARUBOZU_Bear"/>
    <n v="-1"/>
  </r>
  <r>
    <d v="2021-10-22T00:00:00"/>
    <n v="19.129999160766602"/>
    <n v="18.100000381469727"/>
    <n v="19.069999694824219"/>
    <n v="19.030000686645508"/>
    <n v="5776300"/>
    <n v="19.030000686645508"/>
    <n v="19.209999084472656"/>
    <n v="-9.3700367728096756E-3"/>
    <n v="-9.4142117312479671E-3"/>
    <n v="3.9999008178710938E-2"/>
    <n v="0.93000030517578125"/>
    <n v="5.9999465942382813E-2"/>
    <n v="2.0996854476759957E-3"/>
    <n v="23.250584140002861"/>
    <n v="1.5000238424490964"/>
    <n v="0.21096219559612445"/>
    <n v="0.23019891338517695"/>
    <n v="6.5695312473124184E-2"/>
    <n v="-60.510087827484341"/>
    <n v="67.729590303296689"/>
    <n v="81.059878059965754"/>
    <n v="71.201922543046578"/>
    <n v="0.71000099182128906"/>
    <n v="0.94111103481716585"/>
    <n v="-5776300"/>
    <n v="-4025200"/>
    <n v="-86.81195264714944"/>
    <n v="77.863923974247712"/>
    <n v="22.921707655805896"/>
    <n v="85.310974054129829"/>
    <n v="84.847321174061534"/>
    <n v="0.53785691942487446"/>
    <n v="81.049817597116373"/>
    <n v="74.885199448191756"/>
    <n v="19.256666819254558"/>
    <n v="19.162499904632568"/>
    <n v="18.621999835968019"/>
    <n v="0.52697355006573687"/>
    <n v="18.3831586933136"/>
    <n v="19.675946936099493"/>
    <n v="17.568052735836545"/>
    <n v="-3.3943574679284383E-2"/>
    <n v="7.6823326224832927E-2"/>
    <n v="0.11319376107992397"/>
    <n v="76.231031765692236"/>
    <n v="76.715588353300149"/>
    <n v="40.811014356924545"/>
    <n v="55.786689086789501"/>
    <n v="-87.517938335959599"/>
    <n v="86.798705627709239"/>
    <n v="19.01487521846909"/>
    <n v="7.9482226120109172E-4"/>
    <n v="81.150823195787581"/>
    <n v="18.924626127063249"/>
    <n v="18.729993894553527"/>
    <n v="1.5764938584711341E-2"/>
    <n v="18.653954868605737"/>
    <n v="18.439797417644392"/>
    <n v="3.1014358786402799E-2"/>
    <n v="64.372193232516111"/>
    <n v="18.24100347685512"/>
    <n v="4.146070316981515E-2"/>
    <n v="0.2706712584575115"/>
    <n v="0.19985188523254829"/>
    <n v="7.0819373224963206E-2"/>
    <n v="-76.434029925151663"/>
    <n v="83.057507509414677"/>
    <n v="4190188.888888889"/>
    <n v="3420075"/>
    <n v="3126749"/>
    <n v="0.37852974010718166"/>
    <n v="0.68893957003866868"/>
    <n v="68.93619473458233"/>
    <n v="78.581560513939735"/>
    <n v="78.581560513939735"/>
    <n v="83.403784631834768"/>
    <n v="-79.352580572052688"/>
    <n v="86.4121323184749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3"/>
    <s v="CDLLONGLINE_Bear"/>
    <n v="-1"/>
  </r>
  <r>
    <d v="2021-10-22T00:00:00"/>
    <n v="6.9499998092651367"/>
    <n v="6.4000000953674316"/>
    <n v="6.809999942779541"/>
    <n v="6.809999942779541"/>
    <n v="2162700"/>
    <n v="6.809999942779541"/>
    <n v="6.9099998474121094"/>
    <n v="-1.447176654714688E-2"/>
    <n v="-1.4577503938390362E-2"/>
    <n v="0"/>
    <n v="0.40999984741210938"/>
    <n v="0.1399998664855957"/>
    <n v="0"/>
    <m/>
    <m/>
    <n v="0.42289815680593151"/>
    <n v="0.52468457369408994"/>
    <n v="-7.9025578914300787E-2"/>
    <n v="-82.620317936247119"/>
    <n v="-77.115642606006304"/>
    <n v="-60.040660454510849"/>
    <n v="-58.677174478612244"/>
    <n v="-1.059999942779541"/>
    <n v="-0.25444438722398544"/>
    <n v="-2162700"/>
    <n v="42439800"/>
    <n v="-83.60658941478097"/>
    <n v="-62.345909051328078"/>
    <n v="20.246270530433979"/>
    <n v="84.421209074663849"/>
    <n v="-66.88120236787806"/>
    <n v="0.40285713332039969"/>
    <n v="57.792655331739851"/>
    <n v="40.06055644103413"/>
    <n v="6.9933333396911621"/>
    <n v="7.3950000405311584"/>
    <n v="7.6165000200271606"/>
    <n v="0.37697235255267458"/>
    <n v="9.5145086407661434"/>
    <n v="8.3704447251325096"/>
    <n v="6.8625553149218117"/>
    <n v="-0.22914020491402001"/>
    <n v="-7.7173821709049682E-3"/>
    <n v="0.19797668302314542"/>
    <n v="62.732023859623119"/>
    <n v="48.197349028850333"/>
    <n v="8.9815876612825321"/>
    <n v="30.553736465144212"/>
    <n v="-87.533150693564025"/>
    <n v="-68.55389703928347"/>
    <n v="7.3014699087472934"/>
    <n v="-7.2168864918838171E-2"/>
    <n v="-64.001287787617187"/>
    <n v="7.3924434863284469"/>
    <n v="7.5872435187396112"/>
    <n v="-0.11413268465356752"/>
    <n v="7.676621964532063"/>
    <n v="8.0609463342299197"/>
    <n v="-0.18369257003837766"/>
    <n v="-57.524084361881364"/>
    <n v="9.3443881213217921"/>
    <n v="-0.37215685753850769"/>
    <n v="-0.28417847820361608"/>
    <n v="-0.21812441521925341"/>
    <n v="-6.6054062984362671E-2"/>
    <n v="-84.489269743300298"/>
    <n v="-23.521016444047302"/>
    <n v="1577200"/>
    <n v="1601705"/>
    <n v="1580722.5"/>
    <n v="0.3712274917575451"/>
    <n v="0.3502486412916237"/>
    <n v="23.699412883919369"/>
    <n v="14.16655515034981"/>
    <n v="14.16655515034981"/>
    <n v="17.468698815234021"/>
    <n v="-87.480533722047781"/>
    <n v="74.1339102871820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4"/>
    <s v="NO_PATTERN"/>
    <n v="0"/>
  </r>
  <r>
    <d v="2021-10-22T00:00:00"/>
    <n v="16.819999694824219"/>
    <n v="15.869999885559082"/>
    <n v="16.379999160766602"/>
    <n v="16.639999389648438"/>
    <n v="3353600"/>
    <n v="16.639999389648438"/>
    <n v="16.549999237060547"/>
    <n v="5.438075935759068E-3"/>
    <n v="5.4233429892701843E-3"/>
    <n v="0.26000022888183594"/>
    <n v="0.50999927520751953"/>
    <n v="0.18000030517578125"/>
    <n v="1.5748046050629998E-2"/>
    <n v="1.9615339471078017"/>
    <n v="0.69230825661152473"/>
    <n v="0.36404579115101765"/>
    <n v="0.4703130918248879"/>
    <n v="-1.1947619161939062E-2"/>
    <n v="-81.045827564507647"/>
    <n v="-71.934993727358147"/>
    <n v="-2.5101774283260996"/>
    <n v="-48.847174724708559"/>
    <n v="-0.84000015258789063"/>
    <n v="3.9999855889214411E-2"/>
    <n v="3353600"/>
    <n v="-18466500"/>
    <n v="-57.620410570464294"/>
    <n v="-19.45504476695606"/>
    <n v="26.956407413048225"/>
    <n v="-35.616853781804444"/>
    <n v="-83.207331908152028"/>
    <n v="0.78999989373343327"/>
    <n v="69.253310741504862"/>
    <n v="1.1250617817003845"/>
    <n v="16.773332595825195"/>
    <n v="17.368749856948853"/>
    <n v="17.474499893188476"/>
    <n v="0.64100665347957375"/>
    <n v="24.172247819900512"/>
    <n v="18.756513200147623"/>
    <n v="16.192486586229329"/>
    <n v="-0.12719434423872911"/>
    <n v="2.6893799268857037E-2"/>
    <n v="0.14672961341329982"/>
    <n v="-84.295553161124928"/>
    <n v="-66.590007855248942"/>
    <n v="28.734384275981654"/>
    <n v="37.158598625895678"/>
    <n v="-87.017198792244884"/>
    <n v="81.056443941096688"/>
    <n v="17.166966250568702"/>
    <n v="-3.1668682707289342E-2"/>
    <n v="-39.085841822578331"/>
    <n v="17.296042976195739"/>
    <n v="17.697339012952618"/>
    <n v="-6.3542047000430785E-2"/>
    <n v="17.932150968938195"/>
    <n v="19.063734077072564"/>
    <n v="-0.14565713800037186"/>
    <n v="-68.516245309781738"/>
    <n v="23.275575674048127"/>
    <n v="-0.39877262787206652"/>
    <n v="-0.63610799274245622"/>
    <n v="-0.65199031736188129"/>
    <n v="1.588232461942507E-2"/>
    <n v="-80.928670562778436"/>
    <n v="75.248313666642105"/>
    <n v="1698733.3333333333"/>
    <n v="1611610"/>
    <n v="1205934.5"/>
    <n v="0.97417683764373453"/>
    <n v="1.0809004659936337"/>
    <n v="31.428553634063849"/>
    <n v="31.252548380847575"/>
    <n v="31.252548380847575"/>
    <n v="37.258097839472214"/>
    <n v="-86.555602657129398"/>
    <n v="86.8939735081292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5"/>
    <s v="CDLRICKSHAWMAN_Bull"/>
    <n v="1"/>
  </r>
  <r>
    <d v="2021-10-22T00:00:00"/>
    <n v="30.5"/>
    <n v="29.209999084472656"/>
    <n v="30.280000686645508"/>
    <n v="30.260000228881836"/>
    <n v="1221900"/>
    <n v="30.260000228881836"/>
    <n v="30.639999389648438"/>
    <n v="-1.2402061629772199E-2"/>
    <n v="-1.247960902824915E-2"/>
    <n v="2.0000457763671875E-2"/>
    <n v="1.0500011444091797"/>
    <n v="0.21999931335449219"/>
    <n v="6.6073529769445846E-4"/>
    <n v="52.498855617013163"/>
    <n v="10.999713904253291"/>
    <n v="0.30082901242002069"/>
    <n v="0.30785910732067728"/>
    <n v="-1.4435963520548063E-2"/>
    <n v="-83.33157879721675"/>
    <n v="-72.229413718160686"/>
    <n v="-50.117811512425519"/>
    <n v="-65.768920767957695"/>
    <n v="-0.25"/>
    <n v="-0.63777775234646272"/>
    <n v="-1221900"/>
    <n v="-27852900"/>
    <n v="-82.477646415075867"/>
    <n v="0.63045780356881909"/>
    <n v="25.042065107535311"/>
    <n v="84.146249221706341"/>
    <n v="82.567552669487327"/>
    <n v="1.1578576224190849"/>
    <n v="58.860983301706128"/>
    <n v="64.723447082804512"/>
    <n v="30.636666615804035"/>
    <n v="31.206249952316284"/>
    <n v="31.55250005722046"/>
    <n v="0.88685062907967827"/>
    <n v="30.504932155609129"/>
    <n v="33.326201315379819"/>
    <n v="29.778798799061104"/>
    <n v="-0.10132852158974638"/>
    <n v="1.590222822805688E-2"/>
    <n v="0.11242857174187469"/>
    <n v="63.416056359722113"/>
    <n v="40.566551524624018"/>
    <n v="12.271877854896317"/>
    <n v="35.904575403621848"/>
    <n v="-88.09107231467469"/>
    <n v="-61.579226414045074"/>
    <n v="31.017205534159544"/>
    <n v="-2.5023307982495944E-2"/>
    <n v="-38.160023473000713"/>
    <n v="31.123999644287604"/>
    <n v="31.32120086214784"/>
    <n v="-3.5069419208170902E-2"/>
    <n v="31.388213111973215"/>
    <n v="31.470809367591063"/>
    <n v="-4.0013520474251767E-2"/>
    <n v="-32.436059151928724"/>
    <n v="31.471612006187833"/>
    <n v="-4.0040045212873687E-2"/>
    <n v="-0.26421346768561094"/>
    <n v="-0.1540209753348516"/>
    <n v="-0.11019249235075934"/>
    <n v="-81.504329198036274"/>
    <n v="-56.57259184293067"/>
    <n v="823255.5555555555"/>
    <n v="1072515"/>
    <n v="1175832"/>
    <n v="0.48422927941910854"/>
    <n v="0.13928476524803846"/>
    <n v="38.513514674548077"/>
    <n v="44.719327448753454"/>
    <n v="44.719327448753454"/>
    <n v="49.200279853613715"/>
    <n v="-85.553702410588016"/>
    <n v="-70.076269783143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6"/>
    <s v="CDLSPINNINGTOP_Bull"/>
    <n v="1"/>
  </r>
  <r>
    <d v="2021-10-22T00:00:00"/>
    <n v="27.280000686645508"/>
    <n v="25.129999160766602"/>
    <n v="26.610000610351563"/>
    <n v="26.829999923706055"/>
    <n v="2336000"/>
    <n v="26.829999923706055"/>
    <n v="27"/>
    <n v="-6.296299121998028E-3"/>
    <n v="-6.316204410402225E-3"/>
    <n v="0.21999931335449219"/>
    <n v="1.4800014495849609"/>
    <n v="0.45000076293945313"/>
    <n v="8.2335071540384948E-3"/>
    <n v="6.7273003129795477"/>
    <n v="2.0454643974926956"/>
    <n v="0.38133415667172565"/>
    <n v="0.3866737792261139"/>
    <n v="-6.3536350077400688E-2"/>
    <n v="-86.50700029886778"/>
    <n v="-80.9153163868408"/>
    <n v="-34.771615489001135"/>
    <n v="-69.064052638832678"/>
    <n v="-2.5799999237060547"/>
    <n v="-0.26666683620876735"/>
    <n v="-2336000"/>
    <n v="63734000"/>
    <n v="-81.535183593812889"/>
    <n v="-40.956388418400287"/>
    <n v="19.935618021855124"/>
    <n v="82.182894843695692"/>
    <n v="-21.04034163640975"/>
    <n v="1.2528574807303292"/>
    <n v="74.827365191970543"/>
    <n v="-38.25625514272312"/>
    <n v="27.406666437784832"/>
    <n v="28.861249923706055"/>
    <n v="29.273499965667725"/>
    <n v="1.312002297263118"/>
    <n v="28.382824707031251"/>
    <n v="31.897504560193962"/>
    <n v="26.649495371141487"/>
    <n v="-0.18887456768162106"/>
    <n v="6.7277134952609483E-3"/>
    <n v="0.1792750848107468"/>
    <n v="66.611483414148154"/>
    <n v="24.076122997372142"/>
    <n v="9.0532865071501192"/>
    <n v="29.139878871026909"/>
    <n v="-88.584325702802204"/>
    <n v="74.304914892144723"/>
    <n v="28.432483807996949"/>
    <n v="-5.9727316021160146E-2"/>
    <n v="-61.680170499409876"/>
    <n v="28.683856196921887"/>
    <n v="29.235140405384143"/>
    <n v="-8.9643700652901989E-2"/>
    <n v="29.465736213181792"/>
    <n v="30.081268808267563"/>
    <n v="-0.12118035385042249"/>
    <n v="-63.292498042973655"/>
    <n v="28.809694319373474"/>
    <n v="-7.3786597141143856E-2"/>
    <n v="-0.78188001625990466"/>
    <n v="-0.59779007176271237"/>
    <n v="-0.18408994449719229"/>
    <n v="-86.61155159354459"/>
    <n v="79.735104021438758"/>
    <n v="988288.88888888888"/>
    <n v="1070350"/>
    <n v="1147390"/>
    <n v="1.3636813347424281"/>
    <n v="1.1824636801046386"/>
    <n v="29.616729369903908"/>
    <n v="27.2106764304541"/>
    <n v="27.2106764304541"/>
    <n v="39.195892972189164"/>
    <n v="-87.570457575946818"/>
    <n v="86.7920026917307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7"/>
    <s v="CDLBELTHOLD_Bull"/>
    <n v="1"/>
  </r>
  <r>
    <d v="2021-10-22T00:00:00"/>
    <n v="41.860000610351563"/>
    <n v="37.169998168945313"/>
    <n v="41.860000610351563"/>
    <n v="40.139999389648438"/>
    <n v="22538600"/>
    <n v="40.139999389648438"/>
    <n v="43"/>
    <n v="-6.6511642101199087E-2"/>
    <n v="-6.8826787530939987E-2"/>
    <n v="1.720001220703125"/>
    <n v="2.970001220703125"/>
    <n v="0"/>
    <n v="4.1951249285442076E-2"/>
    <n v="1.726743670268448"/>
    <n v="0"/>
    <n v="0.69825453299253526"/>
    <n v="1.2134711510734"/>
    <n v="-0.14643364120289154"/>
    <n v="-84.613911123792022"/>
    <n v="-77.138661687706744"/>
    <n v="4.9542286374239373"/>
    <n v="-71.288808603814559"/>
    <n v="-9.8699989318847656"/>
    <n v="-0.60777791341145837"/>
    <n v="-22538600"/>
    <n v="107288327"/>
    <n v="-86.060354374303103"/>
    <n v="-41.677994590229822"/>
    <n v="26.651827106114105"/>
    <n v="47.603807714119306"/>
    <n v="-78.665865901920739"/>
    <n v="4.8671428135463168"/>
    <n v="-74.862879280572898"/>
    <n v="40.609869071098068"/>
    <n v="43.879999796549477"/>
    <n v="46.845000267028809"/>
    <n v="48.227000427246097"/>
    <n v="5.2180678642063736"/>
    <n v="60.18638745307922"/>
    <n v="58.663136155658847"/>
    <n v="37.790864698833346"/>
    <n v="-0.46146330462544244"/>
    <n v="5.852353578811717E-2"/>
    <n v="0.4327922382050865"/>
    <n v="-78.780435725503239"/>
    <n v="-74.351647105619747"/>
    <n v="20.728987435091582"/>
    <n v="34.898446395974943"/>
    <n v="-84.865227653348697"/>
    <n v="80.272079643539541"/>
    <n v="45.718577277489672"/>
    <n v="-0.13897802622488017"/>
    <n v="-52.444478657851903"/>
    <n v="46.604945723548042"/>
    <n v="49.29285691969131"/>
    <n v="-0.2280233599705353"/>
    <n v="50.736554240974783"/>
    <n v="56.078163268834579"/>
    <n v="-0.39706437771636782"/>
    <n v="-73.445663254592546"/>
    <n v="55.913425617767061"/>
    <n v="-0.3929603006468001"/>
    <n v="-4.1316085174267414"/>
    <n v="-4.1293602519306756"/>
    <n v="-2.2482654960658266E-3"/>
    <n v="-86.829736428823963"/>
    <n v="87.349690306333514"/>
    <n v="9394700"/>
    <n v="10771185"/>
    <n v="4828822"/>
    <n v="1.3990760748081366"/>
    <n v="1.0924902877445701"/>
    <n v="19.866227887196217"/>
    <n v="38.70676887716737"/>
    <n v="38.70676887716737"/>
    <n v="44.900603392950245"/>
    <n v="75.688208662995009"/>
    <n v="86.895316651719142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88"/>
    <s v="CDLRICKSHAWMAN_Bull"/>
    <n v="1"/>
  </r>
  <r>
    <d v="2021-10-22T00:00:00"/>
    <n v="11"/>
    <n v="10.199999809265137"/>
    <n v="10.939999580383301"/>
    <n v="10.760000228881836"/>
    <n v="4665400"/>
    <n v="10.760000228881836"/>
    <n v="11.140000343322754"/>
    <n v="-3.4111319814158492E-2"/>
    <n v="-3.4706689312871922E-2"/>
    <n v="0.17999935150146484"/>
    <n v="0.56000041961669922"/>
    <n v="6.0000419616699219E-2"/>
    <n v="1.6589802127519968E-2"/>
    <n v="3.1111246509804338"/>
    <n v="0.33333686547315661"/>
    <n v="0.39022216744832833"/>
    <n v="0.46342822798382466"/>
    <n v="-2.2059696793186489E-2"/>
    <n v="-85.270842562549561"/>
    <n v="-58.539822067123808"/>
    <n v="31.220512834142262"/>
    <n v="-53.685012934404355"/>
    <n v="-0.52999973297119141"/>
    <n v="3.7777794731987849E-2"/>
    <n v="-4665400"/>
    <n v="32101200"/>
    <n v="-74.896138948479347"/>
    <n v="58.627279305468505"/>
    <n v="14.43548109437781"/>
    <n v="67.218513930322999"/>
    <n v="-55.247343952453939"/>
    <n v="0.49785702569144114"/>
    <n v="80.047032500701249"/>
    <n v="-43.908242038048563"/>
    <n v="11.1866668065389"/>
    <n v="11.482500076293945"/>
    <n v="11.525500059127808"/>
    <n v="0.43749854173232833"/>
    <n v="13.305913734436036"/>
    <n v="12.400497142592464"/>
    <n v="10.650502975663152"/>
    <n v="-0.15246253520582925"/>
    <n v="1.0176324432110464E-2"/>
    <n v="0.15183672360865383"/>
    <n v="34.110015846021319"/>
    <n v="-1.962133539938036"/>
    <n v="14.419008565730991"/>
    <n v="35.764849311293588"/>
    <n v="-88.515004229029074"/>
    <n v="75.049833504647182"/>
    <n v="11.356728085582676"/>
    <n v="-5.545797806761299E-2"/>
    <n v="36.016707587559786"/>
    <n v="11.398861099272278"/>
    <n v="11.489342146668678"/>
    <n v="-6.7782704672175842E-2"/>
    <n v="11.541435856356284"/>
    <n v="11.854663706307177"/>
    <n v="-0.1017345217602376"/>
    <n v="-56.962013286258156"/>
    <n v="12.743166896367658"/>
    <n v="-0.18430916592014884"/>
    <n v="-0.14257475708400591"/>
    <n v="-0.11714135780519286"/>
    <n v="-2.5433399278813051E-2"/>
    <n v="-84.269188684181842"/>
    <n v="67.610123573603275"/>
    <n v="2574666.6666666665"/>
    <n v="2610515"/>
    <n v="3281963"/>
    <n v="0.81204039357845681"/>
    <n v="0.78715694029722094"/>
    <n v="29.946548336246206"/>
    <n v="43.805723533960823"/>
    <n v="43.805723533960823"/>
    <n v="58.098325297909319"/>
    <n v="84.234282539690497"/>
    <n v="85.591335858604069"/>
    <n v="1"/>
    <n v="0"/>
    <n v="1"/>
    <n v="0"/>
    <n v="0"/>
    <n v="0"/>
    <n v="-1"/>
    <n v="0"/>
    <n v="-1"/>
    <n v="-1"/>
    <n v="0"/>
    <n v="-1"/>
    <n v="0"/>
    <n v="0"/>
    <n v="0"/>
    <n v="0"/>
    <n v="0"/>
    <n v="0"/>
    <n v="0"/>
    <n v="0"/>
    <n v="0"/>
    <n v="0"/>
    <x v="89"/>
    <s v="CDLHIKKAKE_Bull"/>
    <n v="1"/>
  </r>
  <r>
    <d v="2021-10-22T00:00:00"/>
    <n v="24.299999237060547"/>
    <n v="23.440000534057617"/>
    <n v="24.100000381469727"/>
    <n v="24"/>
    <n v="1768900"/>
    <n v="24"/>
    <n v="24.170000076293945"/>
    <n v="-7.0335157533029102E-3"/>
    <n v="-7.0583675240015013E-3"/>
    <n v="0.10000038146972656"/>
    <n v="0.55999946594238281"/>
    <n v="0.19999885559082031"/>
    <n v="4.1580199865549764E-3"/>
    <n v="5.5999732972210037"/>
    <n v="1.9999809265864312"/>
    <n v="0.22789138657700359"/>
    <n v="0.13231031525101555"/>
    <n v="-1.2492479749427118E-3"/>
    <n v="-82.935945757885904"/>
    <n v="-74.221691199868431"/>
    <n v="20.23435246984727"/>
    <n v="-16.199183422792672"/>
    <n v="-0.40999984741210938"/>
    <n v="0.25111113654242623"/>
    <n v="-1768900"/>
    <n v="-37030200"/>
    <n v="-83.533421394917312"/>
    <n v="53.604823719306239"/>
    <n v="16.713930515688677"/>
    <n v="82.439040797406534"/>
    <n v="-29.142996650798143"/>
    <n v="0.47142832619803293"/>
    <n v="69.167078485530041"/>
    <n v="31.42400019128192"/>
    <n v="24.226666768391926"/>
    <n v="24.576250076293945"/>
    <n v="24.497499942779541"/>
    <n v="0.29707115963707681"/>
    <n v="24.746903085708617"/>
    <n v="25.091642262053696"/>
    <n v="23.903357623505386"/>
    <n v="-4.5485094252237346E-2"/>
    <n v="4.0267656872755948E-3"/>
    <n v="4.8506363560521154E-2"/>
    <n v="43.568962041347177"/>
    <n v="-29.602280954717674"/>
    <n v="12.380152110258408"/>
    <n v="36.160909099036466"/>
    <n v="-88.220041276496801"/>
    <n v="55.956900487747461"/>
    <n v="24.419986787843694"/>
    <n v="-1.7499449493487251E-2"/>
    <n v="8.4145657229473869"/>
    <n v="24.45295183213846"/>
    <n v="24.49299135981655"/>
    <n v="-2.0541306659022911E-2"/>
    <n v="24.502083788847379"/>
    <n v="24.550934753863284"/>
    <n v="-2.2955614744303521E-2"/>
    <n v="-0.48767210552888757"/>
    <n v="24.166661906532859"/>
    <n v="-6.9442461055357896E-3"/>
    <n v="-4.9131956708919233E-2"/>
    <n v="1.4094525187469641E-4"/>
    <n v="-4.9272901960793931E-2"/>
    <n v="-86.577716620577078"/>
    <n v="77.271556992533803"/>
    <n v="1078122.2222222222"/>
    <n v="1176640"/>
    <n v="1552134.5"/>
    <n v="0.64072306788552114"/>
    <n v="0.50334851781343493"/>
    <n v="34.782603544828063"/>
    <n v="41.281713599255518"/>
    <n v="41.281713599255518"/>
    <n v="52.475861395175762"/>
    <n v="-84.04026158983568"/>
    <n v="80.506902013148022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90"/>
    <s v="CDL3OUTSIDE_Bear"/>
    <n v="-1"/>
  </r>
  <r>
    <d v="2021-10-22T00:00:00"/>
    <n v="2.690000057220459"/>
    <n v="2.5199999809265137"/>
    <n v="2.6600000858306885"/>
    <n v="2.630000114440918"/>
    <n v="9693700"/>
    <n v="2.630000114440918"/>
    <n v="2.6400001049041748"/>
    <n v="-3.787875024959475E-3"/>
    <n v="-3.7950671913246289E-3"/>
    <n v="2.9999971389770508E-2"/>
    <n v="0.1100001335144043"/>
    <n v="2.9999971389770508E-2"/>
    <n v="1.1342143763333017E-2"/>
    <n v="3.666674613960216"/>
    <n v="1"/>
    <n v="0.39249336537301144"/>
    <n v="0.42485240959697085"/>
    <n v="-5.1863423610182674E-2"/>
    <n v="-84.24607826103788"/>
    <n v="-73.509276961294532"/>
    <n v="-65.339100025559347"/>
    <n v="-27.815269762784414"/>
    <n v="-0.18999981880187988"/>
    <n v="-6.6666682561238602E-2"/>
    <n v="-9693700"/>
    <n v="73658400"/>
    <n v="-84.735210202691718"/>
    <n v="23.490779322967093"/>
    <n v="18.643898166987416"/>
    <n v="-72.410452316470398"/>
    <n v="-11.447093317165974"/>
    <n v="0.11428577559334892"/>
    <n v="41.366312680381974"/>
    <n v="24.491549405930126"/>
    <n v="2.68666672706604"/>
    <n v="2.7850000262260437"/>
    <n v="2.815000021457672"/>
    <n v="9.5724388807128621E-2"/>
    <n v="2.8307608354091642"/>
    <n v="3.0064487990719293"/>
    <n v="2.6235512438434148"/>
    <n v="-0.14313637576059052"/>
    <n v="2.4520419455852766E-3"/>
    <n v="0.13602044487027795"/>
    <n v="-56.325328079352872"/>
    <n v="-48.13180103769885"/>
    <n v="9.8022663471847125"/>
    <n v="34.000094313868289"/>
    <n v="-88.701148700842282"/>
    <n v="-84.752106734586448"/>
    <n v="2.7596813694994489"/>
    <n v="-4.9308459853849997E-2"/>
    <n v="-46.936763589336358"/>
    <n v="2.773206379478852"/>
    <n v="2.7838209772958145"/>
    <n v="-5.8487017551934799E-2"/>
    <n v="2.7856675399728053"/>
    <n v="2.806400446986324"/>
    <n v="-6.7072366870563782E-2"/>
    <n v="0.27508874637298286"/>
    <n v="2.8581097964308744"/>
    <n v="-8.6733715613714971E-2"/>
    <n v="-1.2461160493953294E-2"/>
    <n v="1.1376746679347358E-2"/>
    <n v="-2.383790717330065E-2"/>
    <n v="-83.038994916124679"/>
    <n v="-76.774337106245881"/>
    <n v="4214544.444444444"/>
    <n v="4481145"/>
    <n v="6768472.5"/>
    <n v="1.3000587911175323"/>
    <n v="1.1632194450302324"/>
    <n v="23.404282301784132"/>
    <n v="15.420487865942158"/>
    <n v="15.420487865942158"/>
    <n v="23.205639583066144"/>
    <n v="-87.568384794508233"/>
    <n v="-86.6521925239868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1"/>
    <s v="CDLBELTHOLD_Bull"/>
    <n v="1"/>
  </r>
  <r>
    <d v="2021-10-22T00:00:00"/>
    <n v="11.659999847412109"/>
    <n v="11"/>
    <n v="11.649999618530273"/>
    <n v="11.399999618530273"/>
    <n v="4217100"/>
    <n v="11.399999618530273"/>
    <n v="11.789999961853027"/>
    <n v="-3.3078909633979192E-2"/>
    <n v="-3.3638389375550824E-2"/>
    <n v="0.25"/>
    <n v="0.39999961853027344"/>
    <n v="1.0000228881835938E-2"/>
    <n v="2.1691974687620966E-2"/>
    <n v="1.5999984741210938"/>
    <n v="4.000091552734375E-2"/>
    <n v="0.29970066428775111"/>
    <n v="0.34852722454465335"/>
    <n v="-3.617966422116542E-2"/>
    <n v="-84.325295286470123"/>
    <n v="-60.489395627542258"/>
    <n v="-27.297559939286213"/>
    <n v="-7.737023730037575"/>
    <n v="-0.75"/>
    <n v="1.4444563123914931E-2"/>
    <n v="-4217100"/>
    <n v="2544600"/>
    <n v="-84.520017148026554"/>
    <n v="-77.477508281638421"/>
    <n v="12.867681510162191"/>
    <n v="75.001614404083014"/>
    <n v="69.487682638836134"/>
    <n v="0.41928584235055105"/>
    <n v="62.555874563280483"/>
    <n v="40.504175417868339"/>
    <n v="11.75"/>
    <n v="11.941249966621399"/>
    <n v="11.944999885559081"/>
    <n v="0.21283805539838349"/>
    <n v="12.202672653198242"/>
    <n v="12.370675996355848"/>
    <n v="11.519323774762315"/>
    <n v="-8.514705353566647E-2"/>
    <n v="-1.0467031598675174E-2"/>
    <n v="7.1272685621602744E-2"/>
    <n v="-38.82869060309492"/>
    <n v="-29.046040510936603"/>
    <n v="16.670615521672119"/>
    <n v="37.69253271584337"/>
    <n v="-88.324421554739743"/>
    <n v="-67.587594487484182"/>
    <n v="11.874317526226129"/>
    <n v="-4.160683540066698E-2"/>
    <n v="3.4016363451970397"/>
    <n v="11.898698802267715"/>
    <n v="11.921385937900348"/>
    <n v="-4.5735643580424423E-2"/>
    <n v="11.928153838847729"/>
    <n v="11.986370377406523"/>
    <n v="-5.1436033201538507E-2"/>
    <n v="-1.7758262899306039"/>
    <n v="12.263340735374133"/>
    <n v="-7.5731679450280892E-2"/>
    <n v="-2.9455036580014138E-2"/>
    <n v="1.0226964179547597E-2"/>
    <n v="-3.9682000759561735E-2"/>
    <n v="-84.729127068904717"/>
    <n v="-44.009016040157533"/>
    <n v="2153611.111111111"/>
    <n v="1921165"/>
    <n v="2054762.5"/>
    <n v="0.9581529730426932"/>
    <n v="1.195074342911723"/>
    <n v="27.210853460507185"/>
    <n v="34.362652050518953"/>
    <n v="34.362652050518953"/>
    <n v="45.721667518434458"/>
    <n v="-71.967371415851275"/>
    <n v="-50.598523549500015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92"/>
    <s v="NO_PATTERN"/>
    <n v="0"/>
  </r>
  <r>
    <d v="2021-10-22T00:00:00"/>
    <n v="37.150001525878906"/>
    <n v="35"/>
    <n v="36.130001068115234"/>
    <n v="36.720001220703125"/>
    <n v="2072100"/>
    <n v="36.720001220703125"/>
    <n v="36.509998321533203"/>
    <n v="5.7519284805351845E-3"/>
    <n v="5.735449301090198E-3"/>
    <n v="0.59000015258789063"/>
    <n v="1.1300010681152344"/>
    <n v="0.43000030517578125"/>
    <n v="1.6197670118081764E-2"/>
    <n v="1.9152555523227621"/>
    <n v="0.72881388808069048"/>
    <n v="0.3607857607237609"/>
    <n v="0.30326245013837561"/>
    <n v="2.3420337229044505E-2"/>
    <n v="-81.577602387348563"/>
    <n v="-15.977325870979936"/>
    <n v="70.419463330709789"/>
    <n v="76.505252800684815"/>
    <n v="0.37000274658203125"/>
    <n v="2.3922225104437933"/>
    <n v="2072100"/>
    <n v="103019900"/>
    <n v="-40.925086360699702"/>
    <n v="61.159123596945626"/>
    <n v="28.643602846909072"/>
    <n v="-73.19742706136266"/>
    <n v="85.306833237893471"/>
    <n v="1.2135718209402901"/>
    <n v="79.106902677717486"/>
    <n v="-44.527725157012142"/>
    <n v="37.159999847412109"/>
    <n v="37.496250152587891"/>
    <n v="35.947000122070314"/>
    <n v="1.64721807683226"/>
    <n v="32.265877590179443"/>
    <n v="39.241436275734834"/>
    <n v="32.652563968405794"/>
    <n v="-6.8666529717055058E-2"/>
    <n v="0.11076898466996965"/>
    <n v="0.18329407975503589"/>
    <n v="-80.263216832474001"/>
    <n v="46.234964873964465"/>
    <n v="35.830060719076428"/>
    <n v="55.411781882487233"/>
    <n v="-88.595873449903905"/>
    <n v="-76.598741950025342"/>
    <n v="37.011536587687232"/>
    <n v="-7.9394160482689751E-3"/>
    <n v="76.721257908836492"/>
    <n v="36.76445166299699"/>
    <n v="35.950477346441659"/>
    <n v="2.0956531826790914E-2"/>
    <n v="35.575676229256594"/>
    <n v="34.524507815835101"/>
    <n v="5.9790123417266715E-2"/>
    <n v="75.144560467803387"/>
    <n v="31.624853289463946"/>
    <n v="0.13875674732729804"/>
    <n v="1.1887754337403962"/>
    <n v="1.2055812934357384"/>
    <n v="-1.6805859695342207E-2"/>
    <n v="-86.943805862830246"/>
    <n v="-78.031348623000426"/>
    <n v="1498444.4444444445"/>
    <n v="1540175"/>
    <n v="1331308"/>
    <n v="0.38283405012605654"/>
    <n v="0.34536659795153146"/>
    <n v="50.933329264322914"/>
    <n v="65.425538791937697"/>
    <n v="65.425538791937697"/>
    <n v="76.88146216517363"/>
    <n v="-86.241937491009722"/>
    <n v="23.291501791865269"/>
    <n v="1"/>
    <n v="0"/>
    <n v="1"/>
    <n v="0"/>
    <n v="0"/>
    <n v="0"/>
    <n v="-1"/>
    <n v="0"/>
    <n v="-1"/>
    <n v="-1"/>
    <n v="0"/>
    <n v="-1"/>
    <n v="0"/>
    <n v="0"/>
    <n v="0"/>
    <n v="0"/>
    <n v="0"/>
    <n v="0"/>
    <n v="0"/>
    <n v="0"/>
    <n v="0"/>
    <n v="0"/>
    <x v="93"/>
    <s v="NO_PATTERN"/>
    <n v="0"/>
  </r>
  <r>
    <d v="2021-10-22T00:00:00"/>
    <n v="79.199996948242188"/>
    <n v="73.720001220703125"/>
    <n v="78.900001525878906"/>
    <n v="78.089996337890625"/>
    <n v="1168100"/>
    <n v="78.089996337890625"/>
    <n v="79.739997863769531"/>
    <n v="-2.0692269501910721E-2"/>
    <n v="-2.09093543846872E-2"/>
    <n v="0.81000518798828125"/>
    <n v="4.3699951171875"/>
    <n v="0.29999542236328125"/>
    <n v="1.0319194840567814E-2"/>
    <n v="5.3950211455321231"/>
    <n v="0.37036234682440261"/>
    <n v="0.36449152119504891"/>
    <n v="0.52384142137480294"/>
    <n v="-1.688824186919707E-2"/>
    <n v="-86.273467298581167"/>
    <n v="-79.504741193453114"/>
    <n v="49.140578865359053"/>
    <n v="-41.162528063449024"/>
    <n v="-6.0100021362304688"/>
    <n v="2.174443562825521"/>
    <n v="-1168100"/>
    <n v="12772800"/>
    <n v="-86.139891173587259"/>
    <n v="-63.148725886876477"/>
    <n v="18.411202159944882"/>
    <n v="-81.771343563659158"/>
    <n v="-81.191363445679926"/>
    <n v="3.7978575570242747"/>
    <n v="84.824145853481184"/>
    <n v="74.048923102094591"/>
    <n v="80.153330485026046"/>
    <n v="84.036249160766602"/>
    <n v="83.428499984741208"/>
    <n v="3.5588833902765229"/>
    <n v="82.051458168029782"/>
    <n v="90.546266765294249"/>
    <n v="76.310733204188168"/>
    <n v="-0.15951173020300968"/>
    <n v="2.2784776759416082E-2"/>
    <n v="0.1706315415440732"/>
    <n v="54.936138079321822"/>
    <n v="64.348742179543876"/>
    <n v="12.514280644876109"/>
    <n v="35.722845067179676"/>
    <n v="-88.494619129851756"/>
    <n v="78.279431236826298"/>
    <n v="82.431832137293881"/>
    <n v="-5.5600409822231252E-2"/>
    <n v="26.676740464697783"/>
    <n v="82.804550009374196"/>
    <n v="83.54692512749665"/>
    <n v="-6.9879998021695741E-2"/>
    <n v="83.944791863886124"/>
    <n v="85.56896599868405"/>
    <n v="-9.5773722775352454E-2"/>
    <n v="-41.501284616483979"/>
    <n v="81.523194571633056"/>
    <n v="-4.3964635609498461E-2"/>
    <n v="-1.1402418545119275"/>
    <n v="-0.85830857677253658"/>
    <n v="-0.28193327773939092"/>
    <n v="-88.280693450353539"/>
    <n v="81.285116790600441"/>
    <n v="845033.33333333337"/>
    <n v="890650"/>
    <n v="669034.5"/>
    <n v="0.38231233481913929"/>
    <n v="0.31151406276315052"/>
    <n v="26.842723862760867"/>
    <n v="28.862702409741249"/>
    <n v="28.862702409741249"/>
    <n v="40.682498066565074"/>
    <n v="-88.467158640024067"/>
    <n v="87.173209022721693"/>
    <n v="1"/>
    <n v="0"/>
    <n v="1"/>
    <n v="0"/>
    <n v="0"/>
    <n v="0"/>
    <n v="-1"/>
    <n v="0"/>
    <n v="-1"/>
    <n v="-1"/>
    <n v="0"/>
    <n v="-1"/>
    <n v="0"/>
    <n v="0"/>
    <n v="0"/>
    <n v="0"/>
    <n v="0"/>
    <n v="0"/>
    <n v="0"/>
    <n v="0"/>
    <n v="0"/>
    <n v="0"/>
    <x v="94"/>
    <s v="CDLBELTHOLD_Bear"/>
    <n v="-1"/>
  </r>
  <r>
    <d v="2021-10-22T00:00:00"/>
    <n v="17.909999847412109"/>
    <n v="16.489999771118164"/>
    <n v="17.860000610351563"/>
    <n v="17.209999084472656"/>
    <n v="3148900"/>
    <n v="17.209999084472656"/>
    <n v="18.100000381469727"/>
    <n v="-4.9171341339209529E-2"/>
    <n v="-5.0421402321413941E-2"/>
    <n v="0.65000152587890625"/>
    <n v="0.71999931335449219"/>
    <n v="4.9999237060546875E-2"/>
    <n v="3.706880704506172E-2"/>
    <n v="1.1076886510088384"/>
    <n v="7.6921722595866049E-2"/>
    <n v="0.44782425235384521"/>
    <n v="0.45144115606324142"/>
    <n v="-3.08949588953834E-2"/>
    <n v="-86.87527843960099"/>
    <n v="-76.139431537203507"/>
    <n v="33.982444939655096"/>
    <n v="67.055945527536778"/>
    <n v="-1.1200008392333984"/>
    <n v="0.75111071268717444"/>
    <n v="-3148900"/>
    <n v="21597200"/>
    <n v="-86.513756739184871"/>
    <n v="-28.012557692288279"/>
    <n v="33.338257053856786"/>
    <n v="-76.629669707533822"/>
    <n v="81.496768090784087"/>
    <n v="0.875"/>
    <n v="5.7268074282376986"/>
    <n v="73.301580276195423"/>
    <n v="18.093332926432293"/>
    <n v="18.75124979019165"/>
    <n v="18.225000000000001"/>
    <n v="0.7660939527410624"/>
    <n v="15.027400002479553"/>
    <n v="19.757187905482127"/>
    <n v="16.692812094517876"/>
    <n v="-0.14800633100019253"/>
    <n v="3.0051540817419373E-2"/>
    <n v="0.1681413339349383"/>
    <n v="-80.220548418206903"/>
    <n v="-70.679069065334531"/>
    <n v="9.2693606444268397"/>
    <n v="38.801467813037952"/>
    <n v="-88.960355946745878"/>
    <n v="-81.395734791143553"/>
    <n v="18.383504510716566"/>
    <n v="-6.8187419446331027E-2"/>
    <n v="68.695426870649726"/>
    <n v="18.34734780832105"/>
    <n v="18.018245617155689"/>
    <n v="-4.6963775460758451E-2"/>
    <n v="17.812482480593587"/>
    <n v="17.064123940936462"/>
    <n v="8.4761854326771777E-3"/>
    <n v="74.74600318190349"/>
    <n v="15.604629944678184"/>
    <n v="9.3281186821379994E-2"/>
    <n v="0.53486532772746287"/>
    <n v="0.70716370414240637"/>
    <n v="-0.1722983764149435"/>
    <n v="-87.398829663527096"/>
    <n v="-80.304873881657116"/>
    <n v="2307377.777777778"/>
    <n v="2152890"/>
    <n v="1822730"/>
    <n v="0.36470933816164552"/>
    <n v="0.46263859277529273"/>
    <n v="21.301748101398683"/>
    <n v="38.40489444409944"/>
    <n v="38.40489444409944"/>
    <n v="57.523710392687484"/>
    <n v="-87.509018435864306"/>
    <n v="-72.03325189168919"/>
    <n v="1"/>
    <n v="0"/>
    <n v="1"/>
    <n v="0"/>
    <n v="0"/>
    <n v="0"/>
    <n v="0"/>
    <n v="0"/>
    <n v="0"/>
    <n v="-1"/>
    <n v="0"/>
    <n v="-1"/>
    <n v="0"/>
    <n v="0"/>
    <n v="0"/>
    <n v="0"/>
    <n v="1"/>
    <n v="1"/>
    <n v="0"/>
    <n v="0"/>
    <n v="0"/>
    <n v="0"/>
    <x v="95"/>
    <s v="CDLHARAMI_Bear"/>
    <n v="-1"/>
  </r>
  <r>
    <d v="2021-10-22T00:00:00"/>
    <n v="7.6999998092651367"/>
    <n v="6.9099998474121094"/>
    <n v="7.6700000762939453"/>
    <n v="7.369999885559082"/>
    <n v="6610600"/>
    <n v="7.369999885559082"/>
    <n v="7.7699999809265137"/>
    <n v="-5.1480063880223415E-2"/>
    <n v="-5.2852471251490833E-2"/>
    <n v="0.30000019073486328"/>
    <n v="0.46000003814697266"/>
    <n v="2.9999732971191406E-2"/>
    <n v="3.9893642486140177E-2"/>
    <n v="1.5333324856233688"/>
    <n v="9.999904632628992E-2"/>
    <n v="0.32403484478883704"/>
    <n v="0.3851021606869437"/>
    <n v="-3.7287969631470068E-2"/>
    <n v="-85.73943072878977"/>
    <n v="-76.601239131089955"/>
    <n v="5.2713277799259348"/>
    <n v="-28.717573108244462"/>
    <n v="-0.65999984741210938"/>
    <n v="0.1266665988498264"/>
    <n v="-6610600"/>
    <n v="34682600"/>
    <n v="-87.287879579214206"/>
    <n v="-51.252137158076202"/>
    <n v="18.73484386141822"/>
    <n v="78.600143753158633"/>
    <n v="-75.732042526354761"/>
    <n v="0.34571429661342074"/>
    <n v="82.829963458506796"/>
    <n v="70.605593428730231"/>
    <n v="7.6899998982747393"/>
    <n v="8.0637499094009399"/>
    <n v="8.0209999561309822"/>
    <n v="0.26459304172949005"/>
    <n v="8.7652900743484494"/>
    <n v="8.5501860395899616"/>
    <n v="7.4918138726720018"/>
    <n v="-0.16013380900362817"/>
    <n v="-1.6528356717020368E-2"/>
    <n v="0.13195015243816025"/>
    <n v="16.019486936489091"/>
    <n v="-49.119268700190794"/>
    <n v="9.6412524347497026"/>
    <n v="30.231530543433394"/>
    <n v="-88.961960272097372"/>
    <n v="81.008045551448305"/>
    <n v="7.9197174008153191"/>
    <n v="-7.4588537827980694E-2"/>
    <n v="3.8930843334806968"/>
    <n v="7.965890180626932"/>
    <n v="8.0595236926462395"/>
    <n v="-9.3558184232570132E-2"/>
    <n v="8.1018701124892694"/>
    <n v="8.2747157858878868"/>
    <n v="-0.1227565691149497"/>
    <n v="-38.803165212845975"/>
    <n v="8.8320184793096921"/>
    <n v="-0.19837430345356138"/>
    <n v="-0.13597993186233737"/>
    <n v="-9.8571442172051965E-2"/>
    <n v="-3.7408489690285401E-2"/>
    <n v="-85.814213308281083"/>
    <n v="76.339008304004082"/>
    <n v="2406333.3333333335"/>
    <n v="2504895"/>
    <n v="2173261"/>
    <n v="1.7471671976728076"/>
    <n v="1.639072695661894"/>
    <n v="28.930817232833263"/>
    <n v="33.405985409805666"/>
    <n v="33.405985409805666"/>
    <n v="49.419158878353237"/>
    <n v="-88.332471227211087"/>
    <n v="87.708059279646903"/>
    <n v="1"/>
    <n v="0"/>
    <n v="1"/>
    <n v="0"/>
    <n v="0"/>
    <n v="0"/>
    <n v="-1"/>
    <n v="0"/>
    <n v="-1"/>
    <n v="-1"/>
    <n v="0"/>
    <n v="-1"/>
    <n v="0"/>
    <n v="0"/>
    <n v="0"/>
    <n v="0"/>
    <n v="1"/>
    <n v="1"/>
    <n v="0"/>
    <n v="0"/>
    <n v="0"/>
    <n v="0"/>
    <x v="96"/>
    <s v="CDLBELTHOLD_Bull"/>
    <n v="1"/>
  </r>
  <r>
    <d v="2021-10-22T00:00:00"/>
    <n v="46.919998168945313"/>
    <n v="43.430000305175781"/>
    <n v="46.040000915527344"/>
    <n v="46.299999237060547"/>
    <n v="2318300"/>
    <n v="46.299999237060547"/>
    <n v="46.200000762939453"/>
    <n v="2.1644691010764827E-3"/>
    <n v="2.1621300124802846E-3"/>
    <n v="0.25999832153320313"/>
    <n v="2.6100006103515625"/>
    <n v="0.61999893188476563"/>
    <n v="5.6313259931463511E-3"/>
    <n v="10.038528691110232"/>
    <n v="2.3846266707748285"/>
    <n v="0.38341751314541861"/>
    <n v="0.39576220481771929"/>
    <n v="-1.2449223438770874E-2"/>
    <n v="-82.475274845710203"/>
    <n v="-76.15847528755414"/>
    <n v="19.895147298556896"/>
    <n v="73.208434966808156"/>
    <n v="-1.1700019836425781"/>
    <n v="2.5100004408094616"/>
    <n v="2318300"/>
    <n v="19906000"/>
    <n v="-72.709149650709648"/>
    <n v="63.509779370591524"/>
    <n v="23.121028556945408"/>
    <n v="-78.522607244895099"/>
    <n v="71.80471052523491"/>
    <n v="1.9357136317661829"/>
    <n v="-66.344999616516361"/>
    <n v="18.314673221910439"/>
    <n v="46.729999542236328"/>
    <n v="47.860000133514404"/>
    <n v="46.331999969482425"/>
    <n v="2.3933980662495133"/>
    <n v="44.326577672958372"/>
    <n v="51.118796101981452"/>
    <n v="41.545203836983397"/>
    <n v="-0.10407768778241641"/>
    <n v="0.10269536670469755"/>
    <n v="0.20663023981921586"/>
    <n v="-86.151199577518952"/>
    <n v="84.180149836893975"/>
    <n v="18.115506271503151"/>
    <n v="47.578209395719497"/>
    <n v="-88.254467480821546"/>
    <n v="-82.827068504126871"/>
    <n v="47.251440626849387"/>
    <n v="-2.0549490398852208E-2"/>
    <n v="50.455777047417911"/>
    <n v="47.123015881937683"/>
    <n v="46.504770565349745"/>
    <n v="-4.4227069473748437E-3"/>
    <n v="46.215024531727806"/>
    <n v="45.628336612650557"/>
    <n v="1.4506752386128804E-2"/>
    <n v="60.575682611718562"/>
    <n v="42.54741221647005"/>
    <n v="8.1049397028645345E-2"/>
    <n v="0.9079913502098762"/>
    <n v="1.0532505850123917"/>
    <n v="-0.14525923480251546"/>
    <n v="-88.685494130504907"/>
    <n v="-85.445749710546963"/>
    <n v="1445466.6666666667"/>
    <n v="1507315"/>
    <n v="1355513.5"/>
    <n v="0.60384189650401243"/>
    <n v="0.53803285975393322"/>
    <n v="43.950987264867393"/>
    <n v="49.577854925200278"/>
    <n v="49.577854925200278"/>
    <n v="62.730226854023321"/>
    <n v="-87.081778866537178"/>
    <n v="-11.572376956820701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97"/>
    <s v="CDLLONGLEGGEDDOJI_Bull"/>
    <n v="1"/>
  </r>
  <r>
    <d v="2021-10-22T00:00:00"/>
    <n v="4.309999942779541"/>
    <n v="3.9000000953674316"/>
    <n v="4.2899999618530273"/>
    <n v="4.2699999809265137"/>
    <n v="1471700"/>
    <n v="4.2699999809265137"/>
    <n v="4.25"/>
    <n v="4.7058778650619359E-3"/>
    <n v="4.6948398373489854E-3"/>
    <n v="1.9999980926513672E-2"/>
    <n v="0.36999988555908203"/>
    <n v="1.9999980926513672E-2"/>
    <n v="4.6728927710762164E-3"/>
    <n v="18.500011920940324"/>
    <n v="1"/>
    <n v="0.52042536759999325"/>
    <n v="0.57817255984249072"/>
    <n v="-0.12116014090322742"/>
    <n v="-76.74507750784025"/>
    <n v="-70.350462526383197"/>
    <n v="-52.33893105979741"/>
    <n v="-48.13838428752193"/>
    <n v="-0.86999988555908203"/>
    <n v="-0.2922222349378798"/>
    <n v="1471700"/>
    <n v="-46049070"/>
    <n v="27.3776199071919"/>
    <n v="-53.373181049966803"/>
    <n v="35.315206539588878"/>
    <n v="85.147795949809705"/>
    <n v="-71.365205062147425"/>
    <n v="0.26142856052943636"/>
    <n v="62.055225956158864"/>
    <n v="-3.9322719943927376"/>
    <n v="4.3933332761128741"/>
    <n v="4.737500011920929"/>
    <n v="4.9660000562667843"/>
    <n v="0.32095912731819015"/>
    <n v="7.4081500315666196"/>
    <n v="5.6079183109031643"/>
    <n v="4.3240818016304043"/>
    <n v="-0.31332982106626295"/>
    <n v="-1.2665531837345789E-2"/>
    <n v="0.25852527078662391"/>
    <n v="75.888759712295439"/>
    <n v="58.27092538870501"/>
    <n v="12.927803692491807"/>
    <n v="26.915208611348589"/>
    <n v="-86.894068645687867"/>
    <n v="-69.050051997939065"/>
    <n v="4.6682840743068841"/>
    <n v="-9.3274963737575919E-2"/>
    <n v="-54.937423971866622"/>
    <n v="4.7561523547889148"/>
    <n v="4.9615274764255668"/>
    <n v="-0.16195023386136034"/>
    <n v="5.0648353994107165"/>
    <n v="5.542240495680522"/>
    <n v="-0.29794859963394071"/>
    <n v="-49.183919517825558"/>
    <n v="7.3773516025030039"/>
    <n v="-0.72771701064557159"/>
    <n v="-0.30868304462180163"/>
    <n v="-0.26098001828720591"/>
    <n v="-4.7703026334595722E-2"/>
    <n v="-81.098859266131072"/>
    <n v="-23.865065367950002"/>
    <n v="970533.33333333337"/>
    <n v="865300"/>
    <n v="1180250.5"/>
    <n v="0.51638274488253866"/>
    <n v="0.70079741130243844"/>
    <n v="26.428561453917268"/>
    <n v="11.092612383785641"/>
    <n v="11.092612383785641"/>
    <n v="8.4211059275090179"/>
    <n v="-88.168250401963306"/>
    <n v="66.9770470815033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8"/>
    <s v="CDLCLOSINGMARUBOZU_Bull"/>
    <n v="1"/>
  </r>
  <r>
    <d v="2021-10-22T00:00:00"/>
    <n v="6.8299999237060547"/>
    <n v="6.2100000381469727"/>
    <n v="6.5999999046325684"/>
    <n v="6.679999828338623"/>
    <n v="4828800"/>
    <n v="6.679999828338623"/>
    <n v="6.679999828338623"/>
    <n v="0"/>
    <n v="0"/>
    <n v="7.9999923706054688E-2"/>
    <n v="0.3899998664855957"/>
    <n v="0.15000009536743164"/>
    <n v="1.2048181523292239E-2"/>
    <n v="4.8750029802350809"/>
    <n v="1.8750029802350809"/>
    <n v="0.41016941939258073"/>
    <n v="0.54543600003474024"/>
    <n v="-7.0787703401503532E-2"/>
    <n v="-84.6191959328374"/>
    <n v="-77.330433174709697"/>
    <n v="-45.299522827264056"/>
    <n v="-57.57546667733402"/>
    <n v="-0.76000022888183594"/>
    <n v="-6.6666709052191839E-2"/>
    <n v="4828800"/>
    <n v="-19630900"/>
    <n v="-79.295875393657312"/>
    <n v="-1.2480195209995428"/>
    <n v="17.938307154926395"/>
    <n v="74.775132972040396"/>
    <n v="-76.390776758590349"/>
    <n v="0.36214283534458708"/>
    <n v="66.725191008779646"/>
    <n v="-27.586114989544786"/>
    <n v="6.8499999046325684"/>
    <n v="7.268750011920929"/>
    <n v="7.3840000391006466"/>
    <n v="0.36770124588029524"/>
    <n v="9.3427047562599181"/>
    <n v="8.1194025308612368"/>
    <n v="6.6485975473400565"/>
    <n v="-0.21547945202277144"/>
    <n v="4.7009403900503694E-3"/>
    <n v="0.1991881061393278"/>
    <n v="12.83050584527523"/>
    <n v="8.9019803084895699"/>
    <n v="10.993767050488074"/>
    <n v="32.952396361016497"/>
    <n v="-88.137587476345118"/>
    <n v="-42.092692913792483"/>
    <n v="7.1407477612885861"/>
    <n v="-6.8974243232062374E-2"/>
    <n v="-51.580416830088993"/>
    <n v="7.21151786390657"/>
    <n v="7.3446691250707108"/>
    <n v="-9.9501394283328451E-2"/>
    <n v="7.4028539777093449"/>
    <n v="7.7026919513222492"/>
    <n v="-0.1530976271354155"/>
    <n v="-49.69033926001056"/>
    <n v="9.1582673637993466"/>
    <n v="-0.37099814358484667"/>
    <n v="-0.19133611380277493"/>
    <n v="-0.12595994199987234"/>
    <n v="-6.5376171802902588E-2"/>
    <n v="-84.30601143969885"/>
    <n v="42.253335114706182"/>
    <n v="1682622.2222222222"/>
    <n v="1494960"/>
    <n v="1436952.5"/>
    <n v="1.8698063868564936"/>
    <n v="2.2300529780061007"/>
    <n v="30.718945896737623"/>
    <n v="21.856670584018286"/>
    <n v="21.856670584018286"/>
    <n v="31.749628783727463"/>
    <n v="-86.468394215938432"/>
    <n v="86.0249925206815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9"/>
    <s v="CDLLONGLINE_Bull"/>
    <n v="1"/>
  </r>
  <r>
    <d v="2021-10-22T00:00:00"/>
    <n v="10.670000076293945"/>
    <n v="9.6599998474121094"/>
    <n v="10.670000076293945"/>
    <n v="10.180000305175781"/>
    <n v="2793400"/>
    <n v="10.180000305175781"/>
    <n v="10.779999732971191"/>
    <n v="-5.5658575385700626E-2"/>
    <n v="-5.7267499609738461E-2"/>
    <n v="0.48999977111816406"/>
    <n v="0.52000045776367188"/>
    <n v="0"/>
    <n v="4.7002375266491363E-2"/>
    <n v="1.0612259197122627"/>
    <n v="0"/>
    <n v="0.43829914283126481"/>
    <n v="0.61618752451586167"/>
    <n v="-0.1476745065352395"/>
    <n v="-87.835283120030454"/>
    <n v="-85.078362450282768"/>
    <n v="-72.464992648960703"/>
    <n v="-51.577510774892374"/>
    <n v="-2.1700000762939453"/>
    <n v="4.444546169704861E-3"/>
    <n v="-2793400"/>
    <n v="11540900"/>
    <n v="-87.028293930425363"/>
    <n v="-49.522312982896473"/>
    <n v="16.199359291157652"/>
    <n v="56.702599335988971"/>
    <n v="-5.8695225092349625"/>
    <n v="0.68214300700596397"/>
    <n v="78.724883303235117"/>
    <n v="73.57022329840828"/>
    <n v="10.880000114440918"/>
    <n v="11.860000133514404"/>
    <n v="11.92300009727478"/>
    <n v="0.63173196833003142"/>
    <n v="12.817441897392273"/>
    <n v="13.186464033934843"/>
    <n v="10.659536160614717"/>
    <n v="-0.2953304163685041"/>
    <n v="-4.7105681833342114E-2"/>
    <n v="0.21193725175744163"/>
    <n v="84.392221554498846"/>
    <n v="58.900756528420622"/>
    <n v="5.8033042069931184"/>
    <n v="27.11676009378337"/>
    <n v="-88.716067788137323"/>
    <n v="-80.053609319155314"/>
    <n v="11.53380650009627"/>
    <n v="-0.13298685209588632"/>
    <n v="-68.842871351842277"/>
    <n v="11.668988958774134"/>
    <n v="11.86994984199109"/>
    <n v="-0.16600682575187095"/>
    <n v="11.942895826425589"/>
    <n v="12.223301753444591"/>
    <n v="-0.20071722858691288"/>
    <n v="-40.324643207801707"/>
    <n v="12.677435157629331"/>
    <n v="-0.24532758129523707"/>
    <n v="-0.27390686765145489"/>
    <n v="-0.10593293533212136"/>
    <n v="-0.16797393231933352"/>
    <n v="-88.32743522024154"/>
    <n v="-67.826089315584838"/>
    <n v="1976477.7777777778"/>
    <n v="1800195"/>
    <n v="1583494"/>
    <n v="0.41332223989925954"/>
    <n v="0.55172078580376005"/>
    <n v="14.64789943169073"/>
    <n v="15.147939690495795"/>
    <n v="15.147939690495795"/>
    <n v="25.962839460143872"/>
    <n v="-88.570468147785164"/>
    <n v="67.2253309020261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0"/>
    <s v="CDLSPINNINGTOP_Bull"/>
    <n v="1"/>
  </r>
  <r>
    <d v="2021-10-22T00:00:00"/>
    <n v="12.180000305175781"/>
    <n v="11.270000457763672"/>
    <n v="12.170000076293945"/>
    <n v="11.859999656677246"/>
    <n v="1451800"/>
    <n v="11.859999656677246"/>
    <n v="12.289999961853027"/>
    <n v="-3.4987819895074046E-2"/>
    <n v="-3.5614555852416671E-2"/>
    <n v="0.31000041961669922"/>
    <n v="0.58999919891357422"/>
    <n v="1.0000228881835938E-2"/>
    <n v="2.5801117191970039E-2"/>
    <n v="1.9032206460980929"/>
    <n v="3.2258759179102869E-2"/>
    <n v="0.46820534687202398"/>
    <n v="0.5225214799628578"/>
    <n v="-0.10172833240906899"/>
    <n v="-85.491670914241041"/>
    <n v="-78.044660627791401"/>
    <n v="-57.42611399722329"/>
    <n v="-57.321760400642461"/>
    <n v="-1.8500003814697266"/>
    <n v="-0.27888329823811847"/>
    <n v="-1451800"/>
    <n v="-16783100"/>
    <n v="-86.278640246129584"/>
    <n v="-74.900893877363202"/>
    <n v="28.741101432995325"/>
    <n v="78.907836260063306"/>
    <n v="-83.195531733584673"/>
    <n v="0.68428564071655273"/>
    <n v="73.872868498737361"/>
    <n v="15.613939351086806"/>
    <n v="12.443333307902018"/>
    <n v="13.297499895095825"/>
    <n v="13.567817068099975"/>
    <n v="0.65940147232373303"/>
    <n v="16.350666661262512"/>
    <n v="14.886620012747441"/>
    <n v="12.249014123452509"/>
    <n v="-0.25519565292450835"/>
    <n v="-3.2800546208805834E-2"/>
    <n v="0.19440164000267579"/>
    <n v="80.095406016728248"/>
    <n v="49.910802896513928"/>
    <n v="7.5055467638414513"/>
    <n v="26.934602004989827"/>
    <n v="-88.560021421089417"/>
    <n v="-54.744776099569073"/>
    <n v="13.055733065215893"/>
    <n v="-0.10082069503816912"/>
    <n v="-53.279867463476926"/>
    <n v="13.211767776036508"/>
    <n v="13.560621937742358"/>
    <n v="-0.14339142751219658"/>
    <n v="13.74968078884166"/>
    <n v="14.680167621942097"/>
    <n v="-0.2377881995702319"/>
    <n v="-65.335400329327712"/>
    <n v="16.358535372880787"/>
    <n v="-0.37930319109839439"/>
    <n v="-0.53791301280515214"/>
    <n v="-0.4483840852642525"/>
    <n v="-8.9528927540899639E-2"/>
    <n v="-85.325875319884688"/>
    <n v="-19.565259705564877"/>
    <n v="825677.77777777775"/>
    <n v="820865"/>
    <n v="859152.5"/>
    <n v="0.75831303575513731"/>
    <n v="0.76862212422261877"/>
    <n v="19.732416189882631"/>
    <n v="18.573660932555999"/>
    <n v="18.573660932555999"/>
    <n v="32.151583388496313"/>
    <n v="-87.441251323022513"/>
    <n v="85.2277074535482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1"/>
    <s v="NO_PATTERN"/>
    <n v="0"/>
  </r>
  <r>
    <d v="2021-10-22T00:00:00"/>
    <n v="9.9099998474121094"/>
    <n v="8.6599998474121094"/>
    <n v="9.9099998474121094"/>
    <n v="9.2600002288818359"/>
    <n v="8836500"/>
    <n v="9.2600002288818359"/>
    <n v="9.9600000381469727"/>
    <n v="-7.0281105078727424E-2"/>
    <n v="-7.287300205117557E-2"/>
    <n v="0.64999961853027344"/>
    <n v="0.60000038146972656"/>
    <n v="0"/>
    <n v="6.7814253097899319E-2"/>
    <n v="0.92307805168624391"/>
    <n v="0"/>
    <n v="0.68957926321784235"/>
    <n v="0.62303833201389125"/>
    <n v="-3.9179164318477663E-2"/>
    <n v="-82.108886903182992"/>
    <n v="-70.962962789936981"/>
    <n v="-6.3379292148191997"/>
    <n v="-59.089038138597928"/>
    <n v="-0.53999996185302734"/>
    <n v="1.9999927944607206E-2"/>
    <n v="-8836500"/>
    <n v="216235500"/>
    <n v="-71.435774241327223"/>
    <n v="-26.422584348645625"/>
    <n v="20.934629460973628"/>
    <n v="-70.491017824259174"/>
    <n v="-67.842591879750529"/>
    <n v="0.65214286531720844"/>
    <n v="71.549860931290524"/>
    <n v="-73.180999316864799"/>
    <n v="9.8900000254313145"/>
    <n v="10.166249990463257"/>
    <n v="10.260500049591064"/>
    <n v="0.52668246492643311"/>
    <n v="9.7902991509437562"/>
    <n v="11.313864979443931"/>
    <n v="9.2071351197381972"/>
    <n v="-0.22179964360649951"/>
    <n v="5.7089749283971997E-3"/>
    <n v="0.20532428726899116"/>
    <n v="-75.046876050792804"/>
    <n v="-78.03482076806938"/>
    <n v="19.530030774668589"/>
    <n v="33.438087272263402"/>
    <n v="-84.855578769621061"/>
    <n v="79.902898893013642"/>
    <n v="10.023214517211203"/>
    <n v="-8.2420547458401827E-2"/>
    <n v="-29.374248040890404"/>
    <n v="10.124748090896498"/>
    <n v="10.467326415778198"/>
    <n v="-0.13038079449833326"/>
    <n v="10.650297293160397"/>
    <n v="11.239302573542602"/>
    <n v="-0.21374754813583532"/>
    <n v="-71.467145330079944"/>
    <n v="10.201068457955978"/>
    <n v="-0.1016272360489756"/>
    <n v="-0.52554920226389967"/>
    <n v="-0.54989078268703206"/>
    <n v="2.4341580423132392E-2"/>
    <n v="-80.173208078764034"/>
    <n v="86.509626481276527"/>
    <n v="4926633.333333333"/>
    <n v="4904025"/>
    <n v="6809206.5"/>
    <n v="0.79361836007009523"/>
    <n v="0.80188722528943068"/>
    <n v="22.556406612333518"/>
    <n v="32.425171552942608"/>
    <n v="32.425171552942608"/>
    <n v="34.965696798058197"/>
    <n v="-49.403115637387494"/>
    <n v="85.2167521190785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2"/>
    <s v="NO_PATTERN"/>
    <n v="0"/>
  </r>
  <r>
    <d v="2021-10-22T00:00:00"/>
    <n v="17.729999542236328"/>
    <n v="16.600000381469727"/>
    <n v="17.709999084472656"/>
    <n v="17.020000457763672"/>
    <n v="1360600"/>
    <n v="17.020000457763672"/>
    <n v="17.799999237060547"/>
    <n v="-4.3820158018483268E-2"/>
    <n v="-4.4809264395410893E-2"/>
    <n v="0.68999862670898438"/>
    <n v="0.42000007629394531"/>
    <n v="2.0000457763671875E-2"/>
    <n v="3.9735020777633683E-2"/>
    <n v="0.6086969742203352"/>
    <n v="2.8986228362607048E-2"/>
    <n v="0.32482609521203759"/>
    <n v="0.37292486611851761"/>
    <n v="-1.7610089414822408E-3"/>
    <n v="-86.074352497253827"/>
    <n v="-74.510311399896835"/>
    <n v="69.881797488934126"/>
    <n v="66.411926022934026"/>
    <n v="-0.27000045776367188"/>
    <n v="1.0855551825629339"/>
    <n v="-1360600"/>
    <n v="15891381"/>
    <n v="-84.387754228508385"/>
    <n v="-34.676991837442223"/>
    <n v="32.714756433200613"/>
    <n v="-82.720717314729228"/>
    <n v="81.586143964059389"/>
    <n v="0.67999976021902897"/>
    <n v="86.281639020978147"/>
    <n v="81.03722492629818"/>
    <n v="17.746666590372723"/>
    <n v="18.217499732971191"/>
    <n v="17.617500019073486"/>
    <n v="0.65420785936187587"/>
    <n v="14.89395299911499"/>
    <n v="18.925915737797236"/>
    <n v="16.309084300349735"/>
    <n v="-0.11198091825926958"/>
    <n v="4.1769455833924655E-2"/>
    <n v="0.14853591228122062"/>
    <n v="-53.426285634774956"/>
    <n v="70.621862542426882"/>
    <n v="18.767231484098531"/>
    <n v="41.533753317675043"/>
    <n v="-88.925831807676815"/>
    <n v="-65.743776588212867"/>
    <n v="17.868578671439931"/>
    <n v="-4.9857708040729212E-2"/>
    <n v="73.739082131085965"/>
    <n v="17.823475734429763"/>
    <n v="17.580839563408301"/>
    <n v="-3.2951767953026227E-2"/>
    <n v="17.435351845734083"/>
    <n v="16.847856509056651"/>
    <n v="1.0114215280675696E-2"/>
    <n v="72.249308217572377"/>
    <n v="14.91164750766529"/>
    <n v="0.1238750231135662"/>
    <n v="0.38812388869568082"/>
    <n v="0.47172083739289961"/>
    <n v="-8.3596948697218787E-2"/>
    <n v="-87.978565472473164"/>
    <n v="72.440563861280125"/>
    <n v="739722.22222222225"/>
    <n v="576525"/>
    <n v="660595.51500000001"/>
    <n v="0.83933909125046924"/>
    <n v="1.3600017345301589"/>
    <n v="19.59182720191825"/>
    <n v="49.251683203516791"/>
    <n v="49.251683203516791"/>
    <n v="64.081615529371661"/>
    <n v="-86.982325770144953"/>
    <n v="72.560575108973069"/>
    <n v="1"/>
    <n v="0"/>
    <n v="1"/>
    <n v="0"/>
    <n v="0"/>
    <n v="0"/>
    <n v="-1"/>
    <n v="0"/>
    <n v="-1"/>
    <n v="-1"/>
    <n v="0"/>
    <n v="-1"/>
    <n v="0"/>
    <n v="0"/>
    <n v="0"/>
    <n v="0"/>
    <n v="0"/>
    <n v="0"/>
    <n v="0"/>
    <n v="0"/>
    <n v="0"/>
    <n v="0"/>
    <x v="103"/>
    <s v="NO_PATTERN"/>
    <n v="0"/>
  </r>
  <r>
    <d v="2021-10-22T00:00:00"/>
    <n v="17.010000228881836"/>
    <n v="15.409999847412109"/>
    <n v="16.979999542236328"/>
    <n v="16.350000381469727"/>
    <n v="2253700"/>
    <n v="16.350000381469727"/>
    <n v="17.110000610351563"/>
    <n v="-4.4418480524310189E-2"/>
    <n v="-4.5435202901570514E-2"/>
    <n v="0.62999916076660156"/>
    <n v="0.94000053405761719"/>
    <n v="3.0000686645507813E-2"/>
    <n v="3.7803730105532521E-2"/>
    <n v="1.4920663273801775"/>
    <n v="4.7620200968207786E-2"/>
    <n v="0.43984096424902647"/>
    <n v="0.54009162144998124"/>
    <n v="-0.13429564398469726"/>
    <n v="-86.512494533979918"/>
    <n v="-83.097005643283438"/>
    <n v="-78.756770806533453"/>
    <n v="-80.696446402929325"/>
    <n v="-3.2299995422363281"/>
    <n v="-1.9844443003336589"/>
    <n v="-2253700"/>
    <n v="-5423105"/>
    <n v="-88.191561855891933"/>
    <n v="-86.902286152385784"/>
    <n v="31.408510148167583"/>
    <n v="86.825662576201054"/>
    <n v="83.111488059890959"/>
    <n v="1.0964285986764091"/>
    <n v="65.01499364608911"/>
    <n v="24.067009436646732"/>
    <n v="17.220000584920246"/>
    <n v="18.408750295639038"/>
    <n v="19.720500087738039"/>
    <n v="1.659538431385168"/>
    <n v="22.983125782012941"/>
    <n v="23.039576950508376"/>
    <n v="16.401423224967701"/>
    <n v="-0.40914840446244155"/>
    <n v="-3.1451279693090585E-3"/>
    <n v="0.33661183519723198"/>
    <n v="83.798040943102265"/>
    <n v="80.520060394285196"/>
    <n v="3.0716863679257216"/>
    <n v="21.732922461926847"/>
    <n v="-87.900383018001094"/>
    <n v="-77.060890504660421"/>
    <n v="18.227926026675526"/>
    <n v="-0.11485783494746253"/>
    <n v="-79.927332168258573"/>
    <n v="18.603161288465333"/>
    <n v="19.497748648798648"/>
    <n v="-0.19252282531420747"/>
    <n v="19.91597590514364"/>
    <n v="21.380149193091427"/>
    <n v="-0.30765435438904448"/>
    <n v="-82.66766520712487"/>
    <n v="22.88041269988808"/>
    <n v="-0.39941358813786915"/>
    <n v="-1.3128146166783061"/>
    <n v="-1.1065636653022279"/>
    <n v="-0.20625095137607818"/>
    <n v="-84.98734471551505"/>
    <n v="-51.72338817088373"/>
    <n v="1317322.2222222222"/>
    <n v="1384035"/>
    <n v="867044.05500000005"/>
    <n v="0.7108190858559873"/>
    <n v="0.62835477426510167"/>
    <n v="13.258117261316443"/>
    <n v="8.8398731884779824"/>
    <n v="8.8398731884779824"/>
    <n v="7.8821523783402263"/>
    <n v="-85.868782765571467"/>
    <n v="-84.1831710932017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4"/>
    <s v="NO_PATTERN"/>
    <n v="0"/>
  </r>
  <r>
    <d v="2021-10-22T00:00:00"/>
    <n v="6.3499999046325684"/>
    <n v="6.070000171661377"/>
    <n v="6.3499999046325684"/>
    <n v="6.179999828338623"/>
    <n v="30556500"/>
    <n v="6.179999828338623"/>
    <n v="6.369999885559082"/>
    <n v="-2.982732506027086E-2"/>
    <n v="-3.0281207925787409E-2"/>
    <n v="0.17000007629394531"/>
    <n v="0.10999965667724609"/>
    <n v="0"/>
    <n v="2.7134889052967896E-2"/>
    <n v="0.64705651359265781"/>
    <n v="0"/>
    <n v="0.31058061124391595"/>
    <n v="0.29683492533066669"/>
    <n v="-5.2021247686300016E-2"/>
    <n v="-87.044179949488637"/>
    <n v="-72.440227865968836"/>
    <n v="-57.284466832579092"/>
    <n v="-59.823107865685031"/>
    <n v="-0.47000026702880859"/>
    <n v="-0.11529133054945204"/>
    <n v="-30556500"/>
    <n v="61612900"/>
    <n v="-86.165929057417458"/>
    <n v="-6.9260134615669742"/>
    <n v="17.559312147475953"/>
    <n v="-73.72494035854227"/>
    <n v="-84.734691917609894"/>
    <n v="0.22285713468279159"/>
    <n v="-82.760291612788734"/>
    <n v="-84.501117241931723"/>
    <n v="6.4033331871032715"/>
    <n v="6.5349999666213989"/>
    <n v="6.5936131477355957"/>
    <n v="0.14423679425241379"/>
    <n v="5.8430920553207395"/>
    <n v="6.8820867362404234"/>
    <n v="6.305139559230768"/>
    <n v="-0.11360629893262364"/>
    <n v="-2.0249147956009957E-2"/>
    <n v="8.750091400308993E-2"/>
    <n v="72.027188754184351"/>
    <n v="-62.968955754096214"/>
    <n v="12.32425801717001"/>
    <n v="34.244769094082272"/>
    <n v="-88.84282804204598"/>
    <n v="-76.475230004210701"/>
    <n v="6.4951776467839402"/>
    <n v="-5.0999648414237375E-2"/>
    <n v="-28.48992030922933"/>
    <n v="6.5168769058667326"/>
    <n v="6.5258450123569167"/>
    <n v="-5.5962005440907535E-2"/>
    <n v="6.5118207443472373"/>
    <n v="6.3928332908744938"/>
    <n v="-3.4439072564357506E-2"/>
    <n v="64.967513534267155"/>
    <n v="5.9281514632436902"/>
    <n v="4.0752163768690189E-2"/>
    <n v="5.0561615194952836E-3"/>
    <n v="5.508880649480697E-2"/>
    <n v="-5.0032644975311687E-2"/>
    <n v="-85.535689199032433"/>
    <n v="-62.618218347387831"/>
    <n v="17842777.777777776"/>
    <n v="16795285"/>
    <n v="12562276.5"/>
    <n v="0.71254164461188796"/>
    <n v="0.81934989492586752"/>
    <n v="14.285670052210573"/>
    <n v="19.063582009023673"/>
    <n v="19.063582009023673"/>
    <n v="23.117826274286486"/>
    <n v="65.299116177234964"/>
    <n v="57.673372490513593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105"/>
    <s v="CDLBELTHOLD_Bull"/>
    <n v="1"/>
  </r>
  <r>
    <d v="2021-10-22T00:00:00"/>
    <n v="42.310001373291016"/>
    <n v="39.909999847412109"/>
    <n v="41.959999084472656"/>
    <n v="41.549999237060547"/>
    <n v="3725500"/>
    <n v="41.549999237060547"/>
    <n v="43.020000457763672"/>
    <n v="-3.4170181428667123E-2"/>
    <n v="-3.4767631540804943E-2"/>
    <n v="0.40999984741210938"/>
    <n v="1.6399993896484375"/>
    <n v="0.35000228881835938"/>
    <n v="9.8191798743310511E-3"/>
    <n v="4"/>
    <n v="0.8536644367736953"/>
    <n v="0.28938622267699937"/>
    <n v="0.30446725509538652"/>
    <n v="-4.1486083995443158E-2"/>
    <n v="-87.041476385246938"/>
    <n v="-83.894384033486361"/>
    <n v="-32.764286330900127"/>
    <n v="43.340503567163488"/>
    <n v="-2.970001220703125"/>
    <n v="0.98222223917643225"/>
    <n v="-3725500"/>
    <n v="29731900"/>
    <n v="-86.346061816616739"/>
    <n v="72.060878503959557"/>
    <n v="18.488487110526609"/>
    <n v="82.465788489620692"/>
    <n v="-37.962378823760233"/>
    <n v="1.5471423012869698"/>
    <n v="78.957122956487325"/>
    <n v="74.012652716554243"/>
    <n v="42.939999898274742"/>
    <n v="44.628750324249268"/>
    <n v="44.102500152587893"/>
    <n v="1.2766770357727253"/>
    <n v="44.529968128204345"/>
    <n v="46.655854224133343"/>
    <n v="41.549146081042444"/>
    <n v="-0.12288459881651756"/>
    <n v="2.0533237876492644E-5"/>
    <n v="0.11579180602964619"/>
    <n v="54.67298707146017"/>
    <n v="75.51385812979477"/>
    <n v="7.0328595321615097"/>
    <n v="31.094821009833225"/>
    <n v="-88.886227751830745"/>
    <n v="-79.653462511880448"/>
    <n v="43.891648373417851"/>
    <n v="-5.6357380971229214E-2"/>
    <n v="-6.6487297301273935"/>
    <n v="44.021636691627222"/>
    <n v="44.063115890437849"/>
    <n v="-6.0484156426547579E-2"/>
    <n v="44.03536768600695"/>
    <n v="43.968549287001409"/>
    <n v="-5.8208185182916553E-2"/>
    <n v="53.022179828926078"/>
    <n v="44.307070900093009"/>
    <n v="-6.6355516574192641E-2"/>
    <n v="-1.373099437972769E-2"/>
    <n v="0.26527190315633326"/>
    <n v="-0.27900289753606095"/>
    <n v="-87.291134490865048"/>
    <n v="-53.230752104036441"/>
    <n v="1813544.4444444445"/>
    <n v="1709220"/>
    <n v="1503866.5"/>
    <n v="1.0542645157732862"/>
    <n v="1.1796491967096103"/>
    <n v="24.153154175547961"/>
    <n v="33.76916090292864"/>
    <n v="33.76916090292864"/>
    <n v="45.836661260507732"/>
    <n v="-88.589394172870328"/>
    <n v="43.309834183082174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106"/>
    <s v="CDLSHOOTINGSTAR_Bear"/>
    <n v="-1"/>
  </r>
  <r>
    <d v="2021-10-22T00:00:00"/>
    <n v="41"/>
    <n v="37.080001831054688"/>
    <n v="38.909999847412109"/>
    <n v="39.880001068115234"/>
    <n v="13790500"/>
    <n v="39.880001068115234"/>
    <n v="39.389999389648438"/>
    <n v="1.2439748313262777E-2"/>
    <n v="1.2363010389142658E-2"/>
    <n v="0.970001220703125"/>
    <n v="1.8299980163574219"/>
    <n v="1.1199989318847656"/>
    <n v="2.4622444712066614E-2"/>
    <n v="1.8865935189554821"/>
    <n v="1.154636621047664"/>
    <n v="0.33635593842487616"/>
    <n v="0.36544268483371056"/>
    <n v="-0.10081155607701422"/>
    <n v="-83.114322897932041"/>
    <n v="-83.313003694765754"/>
    <n v="-77.644645359309649"/>
    <n v="-74.95846363301051"/>
    <n v="-5.029998779296875"/>
    <n v="-2.6311107211642795"/>
    <n v="13790500"/>
    <n v="-87280024"/>
    <n v="-86.770051878860428"/>
    <n v="-83.653910481747218"/>
    <n v="47.406447385779622"/>
    <n v="85.256063363950233"/>
    <n v="-42.10571389411971"/>
    <n v="1.8221421922956194"/>
    <n v="84.362227302277745"/>
    <n v="57.044864281623497"/>
    <n v="39.640000661214195"/>
    <n v="42.021250247955322"/>
    <n v="43.836999893188477"/>
    <n v="2.2841376175324104"/>
    <n v="51.207349987030028"/>
    <n v="48.405275128253294"/>
    <n v="39.268724658123659"/>
    <n v="-0.21377316529096502"/>
    <n v="1.5327893521053623E-2"/>
    <n v="0.20842097982050314"/>
    <n v="83.076141636318056"/>
    <n v="36.096690664724427"/>
    <n v="26.655721448315617"/>
    <n v="26.228784472185382"/>
    <n v="-84.791427055405293"/>
    <n v="-62.113166322863172"/>
    <n v="41.64646301828968"/>
    <n v="-4.4294430864164722E-2"/>
    <n v="-79.835539345273247"/>
    <n v="42.279161929688449"/>
    <n v="43.832584804721066"/>
    <n v="-9.9111926548216461E-2"/>
    <n v="44.577311713244541"/>
    <n v="47.292704933866119"/>
    <n v="-0.18587521733236542"/>
    <n v="-77.575646858244312"/>
    <n v="50.115244868800403"/>
    <n v="-0.25665104128767002"/>
    <n v="-2.2981497835560916"/>
    <n v="-1.9901756017655365"/>
    <n v="-0.30797418179055502"/>
    <n v="-85.690769012379107"/>
    <n v="-46.086679457964124"/>
    <n v="8939188.8888888881"/>
    <n v="8027595"/>
    <n v="6726101.5"/>
    <n v="0.5427014879550347"/>
    <n v="0.71788686399849522"/>
    <n v="30.7354579794827"/>
    <n v="16.374055973856745"/>
    <n v="16.374055973856745"/>
    <n v="9.5608919966401071"/>
    <n v="-88.168132476367916"/>
    <n v="60.3004516050092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7"/>
    <s v="CDLSPINNINGTOP_Bear"/>
    <n v="-1"/>
  </r>
  <r>
    <d v="2021-10-22T00:00:00"/>
    <n v="24"/>
    <n v="23.219999313354492"/>
    <n v="23.799999237060547"/>
    <n v="23.809999465942383"/>
    <n v="2185900"/>
    <n v="23.809999465942383"/>
    <n v="24.040000915527344"/>
    <n v="-9.5674476217013638E-3"/>
    <n v="-9.6135096817064111E-3"/>
    <n v="1.0000228881835938E-2"/>
    <n v="0.57999992370605469"/>
    <n v="0.19000053405761719"/>
    <n v="4.2008944147293949E-4"/>
    <n v="57.998664886515357"/>
    <n v="18.999618539004388"/>
    <n v="0.21555496512752895"/>
    <n v="0.29333435446954192"/>
    <n v="5.4748151655041495E-3"/>
    <n v="-87.040304625215271"/>
    <n v="-77.303508206806526"/>
    <n v="73.175065749306071"/>
    <n v="9.8367082447402137"/>
    <n v="-0.59000015258789063"/>
    <n v="0.66999986436631942"/>
    <n v="-2185900"/>
    <n v="12691000"/>
    <n v="-86.435084397088104"/>
    <n v="28.933559939933183"/>
    <n v="18.433205680785697"/>
    <n v="-79.873219766549823"/>
    <n v="-79.667745059744021"/>
    <n v="0.67000021253313335"/>
    <n v="72.356354104906046"/>
    <n v="52.173958264318493"/>
    <n v="24.269999821980793"/>
    <n v="24.742499589920044"/>
    <n v="24.442499732971193"/>
    <n v="0.60628168622106071"/>
    <n v="25.361643934249877"/>
    <n v="25.655063105413316"/>
    <n v="23.22993636052907"/>
    <n v="-7.749112477344218E-2"/>
    <n v="2.4362163730538088E-2"/>
    <n v="9.9217623867370736E-2"/>
    <n v="-71.416585243212324"/>
    <n v="9.2714150188052269"/>
    <n v="21.141524721077019"/>
    <n v="39.051123496241679"/>
    <n v="-88.566464217824105"/>
    <n v="83.700382703522294"/>
    <n v="24.466915964214557"/>
    <n v="-2.7589941747450358E-2"/>
    <n v="71.948038950401937"/>
    <n v="24.497994518522752"/>
    <n v="24.575629479593797"/>
    <n v="-3.215581817826433E-2"/>
    <n v="24.621164767999595"/>
    <n v="24.847775851426075"/>
    <n v="-4.3585737453212398E-2"/>
    <n v="-51.936188087410365"/>
    <n v="25.134551510566059"/>
    <n v="-5.5630074520509915E-2"/>
    <n v="-0.12317024947684274"/>
    <n v="-0.1128817770243971"/>
    <n v="-1.0288472452445643E-2"/>
    <n v="-86.681451840997198"/>
    <n v="84.513765069336714"/>
    <n v="910488.88888888888"/>
    <n v="940705"/>
    <n v="759832.5"/>
    <n v="1.4007981060236259"/>
    <n v="1.3236827698375153"/>
    <n v="23.137250502081255"/>
    <n v="40.101085386934493"/>
    <n v="40.101085386934493"/>
    <n v="53.403002944521937"/>
    <n v="-86.408750624374989"/>
    <n v="87.079794522972179"/>
    <n v="1"/>
    <n v="0"/>
    <n v="1"/>
    <n v="0"/>
    <n v="0"/>
    <n v="0"/>
    <n v="-1"/>
    <n v="0"/>
    <n v="-1"/>
    <n v="-1"/>
    <n v="0"/>
    <n v="-1"/>
    <n v="0"/>
    <n v="0"/>
    <n v="0"/>
    <n v="0"/>
    <n v="0"/>
    <n v="0"/>
    <n v="0"/>
    <n v="0"/>
    <n v="0"/>
    <n v="0"/>
    <x v="108"/>
    <s v="NO_PATTERN"/>
    <n v="0"/>
  </r>
  <r>
    <d v="2021-10-22T00:00:00"/>
    <n v="45.200000762939453"/>
    <n v="43.979999542236328"/>
    <n v="44.790000915527344"/>
    <n v="44.560001373291016"/>
    <n v="5174200"/>
    <n v="44.560001373291016"/>
    <n v="45.279998779296875"/>
    <n v="-1.5901003211489906E-2"/>
    <n v="-1.6028780497989066E-2"/>
    <n v="0.22999954223632813"/>
    <n v="0.5800018310546875"/>
    <n v="0.40999984741210938"/>
    <n v="5.1482828504663897E-3"/>
    <n v="2.5217521105269269"/>
    <n v="1.7826115801170948"/>
    <n v="0.21946452912846784"/>
    <n v="0.2293106133751793"/>
    <n v="3.099611352724688E-2"/>
    <n v="-86.914325062402455"/>
    <n v="-73.89432407733814"/>
    <n v="84.239801069979976"/>
    <n v="84.161631150160716"/>
    <n v="-0.43999862670898438"/>
    <n v="2.8391142951117621"/>
    <n v="-5174200"/>
    <n v="19739500"/>
    <n v="-87.299650153033781"/>
    <n v="83.889630783748643"/>
    <n v="27.230819273424064"/>
    <n v="80.717994318167854"/>
    <n v="86.348084747574731"/>
    <n v="1.0292862483433314"/>
    <n v="24.631905172593704"/>
    <n v="2.5500376568365066"/>
    <n v="45.280000050862633"/>
    <n v="45.771249771118164"/>
    <n v="44.145948791503905"/>
    <n v="1.6204436219236269"/>
    <n v="42.886957530975344"/>
    <n v="47.386836035351159"/>
    <n v="40.905061547656651"/>
    <n v="-6.3438836960057421E-2"/>
    <n v="8.2022884043830235E-2"/>
    <n v="0.14682603194932253"/>
    <n v="7.7646288904049685"/>
    <n v="86.854409221255466"/>
    <n v="15.720034266329478"/>
    <n v="50.272030770161535"/>
    <n v="-88.711082159107278"/>
    <n v="73.291588403367513"/>
    <n v="45.225465170332164"/>
    <n v="-1.4934106295607598E-2"/>
    <n v="85.602514178149491"/>
    <n v="45.02140572887334"/>
    <n v="44.414148578361598"/>
    <n v="3.2731775232134799E-3"/>
    <n v="44.151097462090831"/>
    <n v="43.418678645933717"/>
    <n v="2.5613166341628531E-2"/>
    <n v="84.871795271607212"/>
    <n v="42.897602312894136"/>
    <n v="3.7306979559325389E-2"/>
    <n v="0.87030826678250861"/>
    <n v="0.8317345601039533"/>
    <n v="3.8573706678555308E-2"/>
    <n v="-88.50877502216278"/>
    <n v="79.74857315254782"/>
    <n v="3000777.777777778"/>
    <n v="2763375"/>
    <n v="2636051"/>
    <n v="0.72428629614544371"/>
    <n v="0.87242050029402463"/>
    <n v="49.568997055943647"/>
    <n v="66.116472890954284"/>
    <n v="66.116472890954284"/>
    <n v="75.494091777539339"/>
    <n v="-79.794607123612124"/>
    <n v="72.981622049671756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09"/>
    <s v="CDLLONGLEGGEDDOJI_Bull"/>
    <n v="1"/>
  </r>
  <r>
    <d v="2021-10-22T00:00:00"/>
    <n v="7.929999828338623"/>
    <n v="7.070000171661377"/>
    <n v="7.929999828338623"/>
    <n v="7.4800000190734863"/>
    <n v="6777200"/>
    <n v="7.4800000190734863"/>
    <n v="8.0100002288818359"/>
    <n v="-6.6167315188995435E-2"/>
    <n v="-6.8457995118461651E-2"/>
    <n v="0.44999980926513672"/>
    <n v="0.40999984741210938"/>
    <n v="0"/>
    <n v="5.8403609827511818E-2"/>
    <n v="0.91111115820615907"/>
    <n v="0"/>
    <n v="0.4999280341196688"/>
    <n v="0.7313685068701008"/>
    <n v="-0.18165291130348513"/>
    <n v="-87.470247022503287"/>
    <n v="-84.356308604737393"/>
    <n v="-71.077492490603987"/>
    <n v="-67.180574378892828"/>
    <n v="-1.820000171661377"/>
    <n v="-0.16777764426337349"/>
    <n v="-6777200"/>
    <n v="12899800"/>
    <n v="-86.346588084603027"/>
    <n v="-61.120786143514735"/>
    <n v="18.783209838498177"/>
    <n v="69.814534892068536"/>
    <n v="-80.170773380905644"/>
    <n v="0.539285557610648"/>
    <n v="81.115331586523581"/>
    <n v="24.539421369840067"/>
    <n v="8.059999942779541"/>
    <n v="8.8037499785423279"/>
    <n v="8.9849999189376835"/>
    <n v="0.54858187570696493"/>
    <n v="10.866816594600678"/>
    <n v="10.082163670351614"/>
    <n v="7.8878361675237532"/>
    <n v="-0.34788284019288623"/>
    <n v="-5.4523549119025759E-2"/>
    <n v="0.24422120452142429"/>
    <n v="82.959346944195531"/>
    <n v="54.132645838570362"/>
    <n v="6.0091325162902081"/>
    <n v="27.818100116370758"/>
    <n v="-88.406662929314706"/>
    <n v="-70.486764140430267"/>
    <n v="8.5745394397540693"/>
    <n v="-0.14632879918309927"/>
    <n v="-72.760362684210904"/>
    <n v="8.7051318351425238"/>
    <n v="8.9585331580087644"/>
    <n v="-0.19766485764239575"/>
    <n v="9.0777015303064115"/>
    <n v="9.6170289306526584"/>
    <n v="-0.28569905162164372"/>
    <n v="-71.534814602940145"/>
    <n v="10.546837375263745"/>
    <n v="-0.41000499309759819"/>
    <n v="-0.37256969516388772"/>
    <n v="-0.26110546772125987"/>
    <n v="-0.11146422744262785"/>
    <n v="-87.538992567264074"/>
    <n v="-40.369089470159381"/>
    <n v="2461866.6666666665"/>
    <n v="2642770"/>
    <n v="2632183.5"/>
    <n v="1.752870450606586"/>
    <n v="1.5644305028436074"/>
    <n v="16.015619397512513"/>
    <n v="16.130679039407312"/>
    <n v="16.130679039407312"/>
    <n v="27.81106635052625"/>
    <n v="-88.770973256997621"/>
    <n v="85.4782480318535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10"/>
    <s v="NO_PATTERN"/>
    <n v="0"/>
  </r>
  <r>
    <d v="2021-10-22T00:00:00"/>
    <n v="7.3499999046325684"/>
    <n v="6.369999885559082"/>
    <n v="6.9499998092651367"/>
    <n v="7.0999999046325684"/>
    <n v="5851400"/>
    <n v="7.0999999046325684"/>
    <n v="7.0199999809265137"/>
    <n v="1.1396000558891117E-2"/>
    <n v="1.1331555294538047E-2"/>
    <n v="0.15000009536743164"/>
    <n v="0.57999992370605469"/>
    <n v="0.25"/>
    <n v="2.1352327177495592E-2"/>
    <n v="3.8666636996817907"/>
    <n v="1.666665607029211"/>
    <n v="0.43164949386353951"/>
    <n v="0.61311301253756445"/>
    <n v="-6.0127406345347335E-2"/>
    <n v="-78.157214481330328"/>
    <n v="-38.269575893821866"/>
    <n v="-61.318636259534209"/>
    <n v="-72.246149343241967"/>
    <n v="-0.44000005722045898"/>
    <n v="-0.61666674084133577"/>
    <n v="5851400"/>
    <n v="68265900"/>
    <n v="72.896864133975669"/>
    <n v="-35.514843224389843"/>
    <n v="30.771700157667528"/>
    <n v="20.604952180796158"/>
    <n v="68.03454168902789"/>
    <n v="0.44714290755135672"/>
    <n v="64.839629126094906"/>
    <n v="-19.925581808091838"/>
    <n v="7.2633333206176758"/>
    <n v="7.35999995470047"/>
    <n v="7.8049999952316282"/>
    <n v="0.59670590107001131"/>
    <n v="10.007550036907196"/>
    <n v="8.9984117973716504"/>
    <n v="6.6115881930916061"/>
    <n v="-0.2673819603152976"/>
    <n v="6.8790382831172461E-2"/>
    <n v="0.3058069962508963"/>
    <n v="33.498956328327232"/>
    <n v="76.332449370589714"/>
    <n v="34.854624494875608"/>
    <n v="36.41005666233076"/>
    <n v="-82.449995786223894"/>
    <n v="72.260915139015182"/>
    <n v="7.3944499223018303"/>
    <n v="-4.1471834031594962E-2"/>
    <n v="-62.944194464752023"/>
    <n v="7.4933294185839667"/>
    <n v="7.7903389713214546"/>
    <n v="-9.7230855769231433E-2"/>
    <n v="7.9452646031051293"/>
    <n v="8.5703084554915048"/>
    <n v="-0.20708571417016466"/>
    <n v="-71.412290765390495"/>
    <n v="9.9571057153632161"/>
    <n v="-0.40240927452216713"/>
    <n v="-0.45193518452116255"/>
    <n v="-0.44746343638211744"/>
    <n v="-4.4717481390451064E-3"/>
    <n v="66.025304317901245"/>
    <n v="68.630183946570355"/>
    <n v="2928555.5555555555"/>
    <n v="2931780"/>
    <n v="2417097"/>
    <n v="0.99804985392874768"/>
    <n v="0.99585234908485631"/>
    <n v="35.609753714793719"/>
    <n v="24.2713881289597"/>
    <n v="24.2713881289597"/>
    <n v="21.74149700170064"/>
    <n v="86.176907227978091"/>
    <n v="-41.9389809747080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11"/>
    <s v="CDLLADDERBOTTOM_Bull"/>
    <n v="1"/>
  </r>
  <r>
    <d v="2021-10-22T00:00:00"/>
    <n v="3.5399999618530273"/>
    <n v="3.2899999618530273"/>
    <n v="3.5399999618530273"/>
    <n v="3.440000057220459"/>
    <n v="1866900"/>
    <n v="3.440000057220459"/>
    <n v="3.5499999523162842"/>
    <n v="-3.0985886358689374E-2"/>
    <n v="-3.1476102036130479E-2"/>
    <n v="9.9999904632568359E-2"/>
    <n v="0.15000009536743164"/>
    <n v="0"/>
    <n v="2.8653267724730518E-2"/>
    <n v="1.5000023841880648"/>
    <n v="0"/>
    <n v="0.38954239439925692"/>
    <n v="0.38292557863550269"/>
    <n v="-5.651222244931578E-2"/>
    <n v="-81.023576984564087"/>
    <n v="-60.631724466038158"/>
    <n v="-39.756286227912391"/>
    <n v="-42.062113762407613"/>
    <n v="-0.27999997138977051"/>
    <n v="-7.4444426430596247E-2"/>
    <n v="-1866900"/>
    <n v="-65880600"/>
    <n v="-74.486268099129063"/>
    <n v="-7.4321534764667208"/>
    <n v="20.930427806548408"/>
    <n v="-68.428626823544732"/>
    <n v="-71.351076941591657"/>
    <n v="0.13714277744293213"/>
    <n v="72.040263321028078"/>
    <n v="24.62408198460604"/>
    <n v="3.5666666825612388"/>
    <n v="3.6675000190734863"/>
    <n v="3.7295000195503234"/>
    <n v="0.11222508851592644"/>
    <n v="4.7073500132560726"/>
    <n v="3.9539501965821762"/>
    <n v="3.5050498425184706"/>
    <n v="-0.14940410779440277"/>
    <n v="-1.8909820993018314E-2"/>
    <n v="0.12036475444712044"/>
    <n v="71.663923650741594"/>
    <n v="32.222505772201806"/>
    <n v="17.498914903197488"/>
    <n v="32.790202327619696"/>
    <n v="-88.060118575744184"/>
    <n v="-11.023698709727361"/>
    <n v="3.6418262660440597"/>
    <n v="-5.8670408565829356E-2"/>
    <n v="-31.304249374172826"/>
    <n v="3.6661012569744988"/>
    <n v="3.7233539954313501"/>
    <n v="-8.2370329505122991E-2"/>
    <n v="3.7550037799234919"/>
    <n v="3.9165742368929046"/>
    <n v="-0.13853900341429659"/>
    <n v="-43.823397666898906"/>
    <n v="4.5544028352186805"/>
    <n v="-0.32395429054110708"/>
    <n v="-8.8902522948993035E-2"/>
    <n v="-7.7429220332652149E-2"/>
    <n v="-1.1473302616340886E-2"/>
    <n v="-80.320316436940601"/>
    <n v="-24.938071502660179"/>
    <n v="1036400"/>
    <n v="944195"/>
    <n v="1617242.5"/>
    <n v="0.80133153222693942"/>
    <n v="0.97723987100122334"/>
    <n v="25.000009934105094"/>
    <n v="21.175428603972126"/>
    <n v="21.175428603972126"/>
    <n v="24.958209044034088"/>
    <n v="-54.224173148897236"/>
    <n v="-29.388629136647765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112"/>
    <s v="CDLSPINNINGTOP_Bull"/>
    <n v="1"/>
  </r>
  <r>
    <d v="2021-10-22T00:00:00"/>
    <n v="9.869999885559082"/>
    <n v="9.3400001525878906"/>
    <n v="9.869999885559082"/>
    <n v="9.75"/>
    <n v="1982700"/>
    <n v="9.75"/>
    <n v="9.9200000762939453"/>
    <n v="-1.7137104333315278E-2"/>
    <n v="-1.7285643977947449E-2"/>
    <n v="0.11999988555908203"/>
    <n v="0.40999984741210938"/>
    <n v="0"/>
    <n v="1.223240430774983E-2"/>
    <n v="3.4166686534900541"/>
    <n v="0"/>
    <n v="0.3065073970170244"/>
    <n v="0.39446931940315594"/>
    <n v="1.6546380203263072E-2"/>
    <n v="-83.177331070145598"/>
    <n v="-11.507794657916769"/>
    <n v="46.123266314033131"/>
    <n v="30.489237263016811"/>
    <n v="0.22000026702880859"/>
    <n v="0.1666667726304796"/>
    <n v="-1982700"/>
    <n v="32140800"/>
    <n v="-75.374712805402453"/>
    <n v="71.916817302121629"/>
    <n v="23.825477572885912"/>
    <n v="82.325642260854906"/>
    <n v="65.730334649179468"/>
    <n v="0.37571423394339426"/>
    <n v="80.103045455687649"/>
    <n v="70.272618824331133"/>
    <n v="9.8400001525878906"/>
    <n v="10.047500014305115"/>
    <n v="9.9039999008178707"/>
    <n v="0.25691282309905028"/>
    <n v="9.9587900733947752"/>
    <n v="10.417825547015971"/>
    <n v="9.3901742546197706"/>
    <n v="-6.8494927899073937E-2"/>
    <n v="3.6905204654382504E-2"/>
    <n v="0.10376123815503441"/>
    <n v="-77.782953015987076"/>
    <n v="-63.017981004122944"/>
    <n v="22.606565294674382"/>
    <n v="45.787912255095833"/>
    <n v="-88.212006454477446"/>
    <n v="25.723493060188311"/>
    <n v="9.9351379357062957"/>
    <n v="-1.8988506226286735E-2"/>
    <n v="67.044490822577558"/>
    <n v="9.9228676481790021"/>
    <n v="9.8549720535411769"/>
    <n v="-1.0766364465761732E-2"/>
    <n v="9.8147587348786463"/>
    <n v="9.6841749569467979"/>
    <n v="6.7512864669950906E-3"/>
    <n v="51.361543967493638"/>
    <n v="9.8742196326696252"/>
    <n v="-1.2740475145602587E-2"/>
    <n v="0.10810891330035588"/>
    <n v="0.13203718224451552"/>
    <n v="-2.3928268944159642E-2"/>
    <n v="-86.992268346489794"/>
    <n v="-65.759549658686751"/>
    <n v="2061322.2222222222"/>
    <n v="1855155"/>
    <n v="1485625"/>
    <n v="-3.8141645869156249E-2"/>
    <n v="6.8751667650411852E-2"/>
    <n v="32.061064256516467"/>
    <n v="38.931302711418986"/>
    <n v="38.931302711418986"/>
    <n v="55.151294181383385"/>
    <n v="-86.029206994526376"/>
    <n v="46.821561055434067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13"/>
    <s v="CDLRICKSHAWMAN_Bull"/>
    <n v="1"/>
  </r>
  <r>
    <d v="2021-10-22T00:00:00"/>
    <n v="6.4899997711181641"/>
    <n v="5.9200000762939453"/>
    <n v="6.4800000190734863"/>
    <n v="6.1500000953674316"/>
    <n v="6789300"/>
    <n v="6.1500000953674316"/>
    <n v="6.5100002288818359"/>
    <n v="-5.5299557735382532E-2"/>
    <n v="-5.6887394053651612E-2"/>
    <n v="0.32999992370605469"/>
    <n v="0.23000001907348633"/>
    <n v="9.9997520446777344E-3"/>
    <n v="5.2256519511625125E-2"/>
    <n v="0.69696991590324542"/>
    <n v="3.0302285928965698E-2"/>
    <n v="0.47279884440294784"/>
    <n v="0.52316696719296973"/>
    <n v="-0.13799294607494397"/>
    <n v="-84.859096268836666"/>
    <n v="-77.82307349244563"/>
    <n v="-64.973637119763026"/>
    <n v="-63.079098541869527"/>
    <n v="-1.190000057220459"/>
    <n v="-0.31111113230387372"/>
    <n v="-6789300"/>
    <n v="-12892300"/>
    <n v="-87.772900644857145"/>
    <n v="-79.07092096371592"/>
    <n v="39.275258584208188"/>
    <n v="-63.00136922888543"/>
    <n v="-82.45137364031649"/>
    <n v="0.39071433884756906"/>
    <n v="12.564659197967318"/>
    <n v="-22.604820092523379"/>
    <n v="6.540000120798747"/>
    <n v="7.03125"/>
    <n v="7.2935000181198122"/>
    <n v="0.43568788710254547"/>
    <n v="11.486350023746491"/>
    <n v="8.1648757923249029"/>
    <n v="6.4221242439147215"/>
    <n v="-0.32762205946552797"/>
    <n v="-4.4247828345933021E-2"/>
    <n v="0.23894584823205972"/>
    <n v="54.263790314110977"/>
    <n v="-64.679110725368915"/>
    <n v="5.5047851727149748"/>
    <n v="22.709296448698026"/>
    <n v="-87.988373335002748"/>
    <n v="-37.724284989514061"/>
    <n v="6.9202354889681192"/>
    <n v="-0.1252415254726382"/>
    <n v="-63.619611485765503"/>
    <n v="7.04339919871102"/>
    <n v="7.375560632699572"/>
    <n v="-0.19927813306138156"/>
    <n v="7.5653533334828253"/>
    <n v="8.4937135930260492"/>
    <n v="-0.38109161972599814"/>
    <n v="-73.137510678201863"/>
    <n v="10.951646199233176"/>
    <n v="-0.78075545193611418"/>
    <n v="-0.5219541347718053"/>
    <n v="-0.49710244346431981"/>
    <n v="-2.4851691307485491E-2"/>
    <n v="-83.050754989001163"/>
    <n v="38.467294496955297"/>
    <n v="2624355.5555555555"/>
    <n v="2516000"/>
    <n v="2225029.5"/>
    <n v="1.5870351239669422"/>
    <n v="1.698449920508744"/>
    <n v="12.921351324562742"/>
    <n v="8.1162658498695688"/>
    <n v="8.1162658498695688"/>
    <n v="15.768848729283457"/>
    <n v="-86.386898737746137"/>
    <n v="79.748895188898416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114"/>
    <s v="NO_PATTERN"/>
    <n v="0"/>
  </r>
  <r>
    <d v="2021-10-22T00:00:00"/>
    <n v="13.649999618530273"/>
    <n v="12.960000038146973"/>
    <n v="13.5"/>
    <n v="13.510000228881836"/>
    <n v="3441600"/>
    <n v="13.510000228881836"/>
    <n v="13.550000190734863"/>
    <n v="-2.9520266634666115E-3"/>
    <n v="-2.9563924883154184E-3"/>
    <n v="1.0000228881835938E-2"/>
    <n v="0.53999996185302734"/>
    <n v="0.1399993896484375"/>
    <n v="7.4048343554937673E-4"/>
    <n v="53.99876025176426"/>
    <n v="13.999618539004388"/>
    <n v="0.2959989338403079"/>
    <n v="0.2197429284888596"/>
    <n v="-6.6396518774825136E-3"/>
    <n v="-83.869513232408465"/>
    <n v="-73.470977832435949"/>
    <n v="36.990499781202097"/>
    <n v="-32.069944399926626"/>
    <n v="-0.31999969482421875"/>
    <n v="0.22555563184950086"/>
    <n v="-3441600"/>
    <n v="8427400"/>
    <n v="-84.595819080029315"/>
    <n v="55.785766952048029"/>
    <n v="17.41709090494502"/>
    <n v="69.460376351400626"/>
    <n v="-77.702200703965772"/>
    <n v="0.3728572300502232"/>
    <n v="34.009322870542832"/>
    <n v="-49.330758215102854"/>
    <n v="13.663333574930826"/>
    <n v="14.006250143051147"/>
    <n v="13.936050939559937"/>
    <n v="0.32670030878001521"/>
    <n v="14.712795767784119"/>
    <n v="14.589451557119968"/>
    <n v="13.282650321999906"/>
    <n v="-7.9900170980787166E-2"/>
    <n v="1.6828268173963351E-2"/>
    <n v="9.3771272851082693E-2"/>
    <n v="-8.3273131593218395"/>
    <n v="2.8669483121996886"/>
    <n v="10.28679534957503"/>
    <n v="35.505700155177465"/>
    <n v="-88.693765951545373"/>
    <n v="69.810164156267277"/>
    <n v="13.850593737837098"/>
    <n v="-2.5210473958922466E-2"/>
    <n v="25.365305182761944"/>
    <n v="13.879092206158255"/>
    <n v="13.905968681533716"/>
    <n v="-2.9309285414027924E-2"/>
    <n v="13.90775847434835"/>
    <n v="13.963863400488821"/>
    <n v="-3.3594608728185718E-2"/>
    <n v="-0.61629488580945146"/>
    <n v="14.438822580491985"/>
    <n v="-6.8750728043993806E-2"/>
    <n v="-2.8666268190095323E-2"/>
    <n v="2.0428594857119221E-2"/>
    <n v="-4.909486304721454E-2"/>
    <n v="-84.496667047377969"/>
    <n v="72.797012214665585"/>
    <n v="2075033.3333333333"/>
    <n v="2004920"/>
    <n v="2136587"/>
    <n v="0.65857576585115107"/>
    <n v="0.71657722003870483"/>
    <n v="37.16218654390898"/>
    <n v="38.824210198153438"/>
    <n v="38.824210198153438"/>
    <n v="50.5851168395805"/>
    <n v="-70.397984505434451"/>
    <n v="80.667166464724161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15"/>
    <s v="CDLCLOSINGMARUBOZU_Bull"/>
    <n v="1"/>
  </r>
  <r>
    <d v="2021-10-22T00:00:00"/>
    <n v="0.69999998807907104"/>
    <n v="0.67000001668930054"/>
    <n v="0.68999999761581421"/>
    <n v="0.68000000715255737"/>
    <n v="4853100"/>
    <n v="0.68000000715255737"/>
    <n v="0.69999998807907104"/>
    <n v="-2.8571401810159047E-2"/>
    <n v="-2.8987509324886983E-2"/>
    <n v="9.9999904632568359E-3"/>
    <n v="9.9999904632568359E-3"/>
    <n v="9.9999904632568359E-3"/>
    <n v="1.4598526172921514E-2"/>
    <n v="1"/>
    <n v="1"/>
    <n v="0.5668009361865155"/>
    <n v="0.35284634303341483"/>
    <n v="-7.0951751581880995E-2"/>
    <n v="-70.495393891622058"/>
    <n v="-49.252153690956263"/>
    <n v="-40.844639128902422"/>
    <n v="-39.135297061708698"/>
    <n v="-6.0000002384185791E-2"/>
    <n v="-3.5555541515350342E-2"/>
    <n v="-4853100"/>
    <n v="64933796"/>
    <n v="-79.828571911557205"/>
    <n v="-25.009508731199809"/>
    <n v="21.70269816327642"/>
    <n v="82.87883981026944"/>
    <n v="76.258959827758318"/>
    <n v="2.6428558996745517E-2"/>
    <n v="-30.608915393991701"/>
    <n v="-63.282321252651919"/>
    <n v="0.70000000794728601"/>
    <n v="0.72375001013278961"/>
    <n v="0.74650000333786015"/>
    <n v="2.8704477903296027E-2"/>
    <n v="0.90445000112056728"/>
    <n v="0.80390895914445215"/>
    <n v="0.68909104753126815"/>
    <n v="-0.18221904513023912"/>
    <n v="-1.336917688689261E-2"/>
    <n v="0.15380832029443178"/>
    <n v="69.958769687867516"/>
    <n v="-12.297967233306883"/>
    <n v="2.2710787725517747"/>
    <n v="22.947315636057596"/>
    <n v="-87.877905968002921"/>
    <n v="-80.898959336724218"/>
    <n v="0.71981746669808122"/>
    <n v="-5.8555086951037102E-2"/>
    <n v="-33.990764913157925"/>
    <n v="0.72666476250518541"/>
    <n v="0.74340877134269312"/>
    <n v="-9.3248181651724674E-2"/>
    <n v="0.75173929177264631"/>
    <n v="0.78548746393096069"/>
    <n v="-0.1551286112777015"/>
    <n v="-32.176292854513399"/>
    <n v="0.94132976467151253"/>
    <n v="-0.38430846289730414"/>
    <n v="-2.5074529267460899E-2"/>
    <n v="-2.1837109111056317E-2"/>
    <n v="-3.2374201564045815E-3"/>
    <n v="-66.138767423719287"/>
    <n v="-28.879558222358078"/>
    <n v="3046777.777777778"/>
    <n v="3503765"/>
    <n v="8692606"/>
    <n v="0.59286313409430713"/>
    <n v="0.38511001736703232"/>
    <n v="8.3333250549107767"/>
    <n v="8.8383745109055756"/>
    <n v="8.8383745109055756"/>
    <n v="9.9927760713069258"/>
    <n v="-82.945497041025675"/>
    <n v="-85.522109050269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16"/>
    <s v="CDLRICKSHAWMAN_Bull"/>
    <n v="1"/>
  </r>
  <r>
    <d v="2021-10-22T00:00:00"/>
    <n v="14.119999885559082"/>
    <n v="12.890000343322754"/>
    <n v="13.510000228881836"/>
    <n v="13.949999809265137"/>
    <n v="2022300"/>
    <n v="13.949999809265137"/>
    <n v="13.810000419616699"/>
    <n v="1.0137536958331417E-2"/>
    <n v="1.0086496788435055E-2"/>
    <n v="0.43999958038330078"/>
    <n v="0.61999988555908203"/>
    <n v="0.17000007629394531"/>
    <n v="3.2046582649094005E-2"/>
    <n v="1.4090919928127568"/>
    <n v="0.38636417822456015"/>
    <n v="0.46346357534681709"/>
    <n v="0.45972269172717051"/>
    <n v="-1.7057967006029726E-2"/>
    <n v="-83.030749454918833"/>
    <n v="-80.8181583819282"/>
    <n v="-51.48090147623995"/>
    <n v="44.779669403527031"/>
    <n v="-0.84000015258789063"/>
    <n v="0.31555557250976563"/>
    <n v="2022300"/>
    <n v="19641100"/>
    <n v="-78.859015792993475"/>
    <n v="-68.815802314741461"/>
    <n v="23.426707363022484"/>
    <n v="-85.029731027219853"/>
    <n v="-36.112336887190402"/>
    <n v="0.72071436473301476"/>
    <n v="-71.556033770005428"/>
    <n v="-42.405680462554095"/>
    <n v="14.06000010172526"/>
    <n v="14.601250052452087"/>
    <n v="14.436000013351441"/>
    <n v="0.5014022446699794"/>
    <n v="14.411360077857971"/>
    <n v="15.438804502691399"/>
    <n v="13.433195524011483"/>
    <n v="-0.10672435224245999"/>
    <n v="3.7046902675253762E-2"/>
    <n v="0.13893107348469011"/>
    <n v="-86.583391028985616"/>
    <n v="-79.442763345744723"/>
    <n v="23.27370987355394"/>
    <n v="44.24989963452331"/>
    <n v="-87.803797183345182"/>
    <n v="-84.21678937443464"/>
    <n v="14.375366664847437"/>
    <n v="-3.0492248128905754E-2"/>
    <n v="-28.614650149532505"/>
    <n v="14.376158339099151"/>
    <n v="14.226962890452819"/>
    <n v="-1.9853984585987791E-2"/>
    <n v="14.151442225161089"/>
    <n v="14.071196340992767"/>
    <n v="-8.6879235401233074E-3"/>
    <n v="65.350127670629647"/>
    <n v="13.941359211658346"/>
    <n v="6.1939768637499725E-4"/>
    <n v="0.22471611393806157"/>
    <n v="0.33220345218720171"/>
    <n v="-0.10748733824914014"/>
    <n v="-87.821155215534432"/>
    <n v="-85.981887677450445"/>
    <n v="1500977.7777777778"/>
    <n v="2142705"/>
    <n v="2091343.5"/>
    <n v="0.3473217458249438"/>
    <n v="-5.6192989702268825E-2"/>
    <n v="38.970578438680477"/>
    <n v="33.618662813480732"/>
    <n v="33.618662813480732"/>
    <n v="39.828408413625873"/>
    <n v="-87.932111270077613"/>
    <n v="-82.580674683268867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117"/>
    <s v="CDLRICKSHAWMAN_Bull"/>
    <n v="1"/>
  </r>
  <r>
    <d v="2021-10-22T00:00:00"/>
    <n v="8.7799997329711914"/>
    <n v="8.2100000381469727"/>
    <n v="8.7399997711181641"/>
    <n v="8.7100000381469727"/>
    <n v="3341500"/>
    <n v="8.7100000381469727"/>
    <n v="8.8400001525878906"/>
    <n v="-1.4705895044906825E-2"/>
    <n v="-1.4815098666538695E-2"/>
    <n v="2.9999732971191406E-2"/>
    <n v="0.5"/>
    <n v="3.9999961853027344E-2"/>
    <n v="3.4383648480343187E-3"/>
    <n v="16.666815017325238"/>
    <n v="1.3333439298089456"/>
    <n v="0.36226909829458909"/>
    <n v="0.4933029285881057"/>
    <n v="2.3229825763171539E-2"/>
    <n v="-84.32425313624195"/>
    <n v="-73.294499717676217"/>
    <n v="64.674703683723877"/>
    <n v="-39.497618556127939"/>
    <n v="-0.48999977111816406"/>
    <n v="0.16888904571533203"/>
    <n v="-3341500"/>
    <n v="37269800"/>
    <n v="-85.074388821582673"/>
    <n v="58.795451027701979"/>
    <n v="25.532292886114355"/>
    <n v="-74.112272786605999"/>
    <n v="-84.891542627599364"/>
    <n v="0.4142857960292271"/>
    <n v="73.211996658299284"/>
    <n v="57.731017828000844"/>
    <n v="8.880000114440918"/>
    <n v="9.0962501764297485"/>
    <n v="9.0515000820159912"/>
    <n v="0.32509551056607783"/>
    <n v="9.0443934106826784"/>
    <n v="9.7016911031481463"/>
    <n v="8.4013090608838361"/>
    <n v="-0.11385660857151421"/>
    <n v="3.5440984605186028E-2"/>
    <n v="0.14366481030563977"/>
    <n v="-75.431942284561899"/>
    <n v="-83.180578575613637"/>
    <n v="20.065718041461992"/>
    <n v="38.016705139988865"/>
    <n v="-87.351740392497959"/>
    <n v="84.478131928824411"/>
    <n v="8.9972021742535588"/>
    <n v="-3.2973838673792659E-2"/>
    <n v="23.211286362204802"/>
    <n v="9.0359584152733028"/>
    <n v="9.1970479438887125"/>
    <n v="-5.5918243812701274E-2"/>
    <n v="9.3011673603051364"/>
    <n v="9.6784872724336246"/>
    <n v="-0.11119256372502781"/>
    <n v="-74.06532961856999"/>
    <n v="9.3508344123233975"/>
    <n v="-7.3574554692282246E-2"/>
    <n v="-0.26520894503183357"/>
    <n v="-0.30490140947404465"/>
    <n v="3.9692464442211084E-2"/>
    <n v="-87.153359318276387"/>
    <n v="86.618916773644443"/>
    <n v="2531133.3333333335"/>
    <n v="2726045"/>
    <n v="2083674.5"/>
    <n v="0.32015961229488754"/>
    <n v="0.22576846677145834"/>
    <n v="40"/>
    <n v="52.268904195767767"/>
    <n v="52.268904195767767"/>
    <n v="61.994186143656556"/>
    <n v="-77.479226028313334"/>
    <n v="86.157353243542474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18"/>
    <s v="CDLSPINNINGTOP_Bear"/>
    <n v="-1"/>
  </r>
  <r>
    <d v="2021-10-22T00:00:00"/>
    <n v="5.4499998092651367"/>
    <n v="5.0199999809265137"/>
    <n v="5.4499998092651367"/>
    <n v="5.3000001907348633"/>
    <n v="2107300"/>
    <n v="5.3000001907348633"/>
    <n v="5.440000057220459"/>
    <n v="-2.5735269303862496E-2"/>
    <n v="-2.6072214840532411E-2"/>
    <n v="0.14999961853027344"/>
    <n v="0.28000020980834961"/>
    <n v="0"/>
    <n v="2.7906905773074128E-2"/>
    <n v="1.8666728125834466"/>
    <n v="0"/>
    <n v="0.51201295943521652"/>
    <n v="0.63218314138282816"/>
    <n v="-8.3230657898443527E-2"/>
    <n v="-79.952902841853927"/>
    <n v="-70.062312227022289"/>
    <n v="-23.602921827197139"/>
    <n v="-26.979430048845675"/>
    <n v="-0.83999967575073242"/>
    <n v="4.6666675143771701E-2"/>
    <n v="-2107300"/>
    <n v="-47682660"/>
    <n v="-80.520628038183617"/>
    <n v="26.914198951943415"/>
    <n v="22.161894183518402"/>
    <n v="68.113495567005799"/>
    <n v="-84.198031635422595"/>
    <n v="0.34571426255362375"/>
    <n v="43.152686865734289"/>
    <n v="45.427822964145527"/>
    <n v="5.5366667111714678"/>
    <n v="5.9462500214576721"/>
    <n v="5.9985000133514408"/>
    <n v="0.31145283852645744"/>
    <n v="8.3562078404426572"/>
    <n v="6.6214056904043552"/>
    <n v="5.3755943362985263"/>
    <n v="-0.24932178341795014"/>
    <n v="-1.4263045819472258E-2"/>
    <n v="0.20768714700890326"/>
    <n v="59.364738405455419"/>
    <n v="23.480012660512802"/>
    <n v="7.9674099890490453"/>
    <n v="29.657482444387057"/>
    <n v="-88.389509718778996"/>
    <n v="-4.073165938407544"/>
    <n v="5.8142206285673552"/>
    <n v="-9.7022720627712569E-2"/>
    <n v="-31.111798302792199"/>
    <n v="5.8814775196978468"/>
    <n v="6.0375119065530951"/>
    <n v="-0.13915314892016509"/>
    <n v="6.1216800997795318"/>
    <n v="6.5264655696577485"/>
    <n v="-0.2314085537330578"/>
    <n v="-36.731505834763063"/>
    <n v="8.3966295457137878"/>
    <n v="-0.58426966859213758"/>
    <n v="-0.24020258008168494"/>
    <n v="-0.20553768038256828"/>
    <n v="-3.4664899699116652E-2"/>
    <n v="-82.649467413958249"/>
    <n v="38.821768838952956"/>
    <n v="1505288.888888889"/>
    <n v="1477910"/>
    <n v="1785763"/>
    <n v="0.39993061501668192"/>
    <n v="0.42586490381687647"/>
    <n v="19.04763603890343"/>
    <n v="21.894092068768568"/>
    <n v="21.894092068768568"/>
    <n v="36.411284833382581"/>
    <n v="-88.587662748154017"/>
    <n v="87.0984656924642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19"/>
    <s v="CDLCLOSINGMARUBOZU_Bull"/>
    <n v="1"/>
  </r>
  <r>
    <d v="2021-10-22T00:00:00"/>
    <n v="42.700000762939453"/>
    <n v="37.560001373291016"/>
    <n v="42.700000762939453"/>
    <n v="38.330001831054688"/>
    <n v="1904200"/>
    <n v="38.330001831054688"/>
    <n v="42.939998626708984"/>
    <n v="-0.10735903453864681"/>
    <n v="-0.11357083330574798"/>
    <n v="4.3699989318847656"/>
    <n v="0.77000045776367188"/>
    <n v="0"/>
    <n v="0.10786125612708954"/>
    <n v="0.17620152081629303"/>
    <n v="0"/>
    <n v="0.46304548435348392"/>
    <n v="0.68879212425884118"/>
    <n v="3.8021334765048057E-2"/>
    <n v="-82.924641243664709"/>
    <n v="78.709109399139763"/>
    <n v="81.187960133255046"/>
    <n v="70.863552860097656"/>
    <n v="0.70000076293945313"/>
    <n v="3.1422220865885415"/>
    <n v="-1904200"/>
    <n v="25603700"/>
    <n v="-81.359638190776323"/>
    <n v="63.607638868949927"/>
    <n v="19.169409008329062"/>
    <n v="81.455735561014222"/>
    <n v="43.532110960063498"/>
    <n v="1.9485716138567244"/>
    <n v="84.775673074179736"/>
    <n v="-69.959605578993262"/>
    <n v="41.546666463216148"/>
    <n v="40.84499979019165"/>
    <n v="39.10299987792969"/>
    <n v="2.0662934385485663"/>
    <n v="28.645000162124635"/>
    <n v="43.235586755026823"/>
    <n v="34.970413000832558"/>
    <n v="-0.12798290346017324"/>
    <n v="8.76490652160683E-2"/>
    <n v="0.21136930107654608"/>
    <n v="81.930496828379631"/>
    <n v="76.644564755692642"/>
    <n v="22.449694130870995"/>
    <n v="45.05623403033173"/>
    <n v="-87.639851787742131"/>
    <n v="83.803208661071807"/>
    <n v="40.422819658246809"/>
    <n v="-5.4599992883291114E-2"/>
    <n v="82.052330682793368"/>
    <n v="40.116177546243591"/>
    <n v="39.417270513160439"/>
    <n v="-2.8365996090948635E-2"/>
    <n v="39.104607474475671"/>
    <n v="37.720132254980015"/>
    <n v="1.591102392227282E-2"/>
    <n v="67.890608116070368"/>
    <n v="30.726768002595069"/>
    <n v="0.19836246974294516"/>
    <n v="1.0115700717679204"/>
    <n v="0.81419291839679009"/>
    <n v="0.19737715337113027"/>
    <n v="-51.003561105908432"/>
    <n v="86.906127310193881"/>
    <n v="966611.11111111112"/>
    <n v="712345"/>
    <n v="614826.5"/>
    <n v="0.96997528593597337"/>
    <n v="1.6731429293390141"/>
    <n v="34.922532995542397"/>
    <n v="73.261804344360016"/>
    <n v="73.261804344360016"/>
    <n v="85.742630595862309"/>
    <n v="84.31579178753482"/>
    <n v="86.314007798725811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20"/>
    <s v="CDLHIKKAKEMOD_Bull"/>
    <n v="1"/>
  </r>
  <r>
    <d v="2021-10-22T00:00:00"/>
    <n v="26.069999694824219"/>
    <n v="23.399999618530273"/>
    <n v="25.219999313354492"/>
    <n v="26.069999694824219"/>
    <n v="2147900"/>
    <n v="26.069999694824219"/>
    <n v="25.239999771118164"/>
    <n v="3.288430789352903E-2"/>
    <n v="3.2355187634602503E-2"/>
    <n v="0.85000038146972656"/>
    <n v="1.8199996948242188"/>
    <n v="0"/>
    <n v="3.3144878062258701E-2"/>
    <n v="2.1411751506243757"/>
    <n v="0"/>
    <n v="0.44402262396559627"/>
    <n v="0.62740012938767742"/>
    <n v="-2.4627106731237344E-2"/>
    <n v="-87.148459929352427"/>
    <n v="-83.382247227091881"/>
    <n v="-16.455349149997062"/>
    <n v="7.5219612915948506"/>
    <n v="-3.0699996948242188"/>
    <n v="0.73111110263400603"/>
    <n v="2147900"/>
    <n v="6003600"/>
    <n v="-84.04804795616316"/>
    <n v="-49.329200559375906"/>
    <n v="23.912188029279172"/>
    <n v="-76.785454103425636"/>
    <n v="-82.834124462035859"/>
    <n v="1.5928569521222795"/>
    <n v="83.750546722312194"/>
    <n v="79.874339372694294"/>
    <n v="26.209999720255535"/>
    <n v="28.003749847412109"/>
    <n v="27.646999740600585"/>
    <n v="1.2271322789863899"/>
    <n v="28.516902751922608"/>
    <n v="30.101264298573366"/>
    <n v="25.192735182627803"/>
    <n v="-0.15463232262904436"/>
    <n v="3.365034608614062E-2"/>
    <n v="0.17754292190834783"/>
    <n v="76.452330038798294"/>
    <n v="74.141090717565334"/>
    <n v="32.802845520683817"/>
    <n v="40.16569963923363"/>
    <n v="-88.387189776765567"/>
    <n v="29.145332136006328"/>
    <n v="27.338625423946549"/>
    <n v="-4.8662284003562761E-2"/>
    <n v="-31.944530309703225"/>
    <n v="27.493922247839674"/>
    <n v="27.759014286673764"/>
    <n v="-6.4787672099009361E-2"/>
    <n v="27.917949724045577"/>
    <n v="28.76495639159576"/>
    <n v="-0.10337386759949145"/>
    <n v="-46.446953067017411"/>
    <n v="28.896093576130628"/>
    <n v="-0.10840406269231699"/>
    <n v="-0.42402747620590375"/>
    <n v="-0.28252581253750902"/>
    <n v="-0.14150166366839473"/>
    <n v="-87.871619091857468"/>
    <n v="-16.462220488443158"/>
    <n v="635555.5555555555"/>
    <n v="421645"/>
    <n v="318740"/>
    <n v="2.3795629370629374"/>
    <n v="4.0940957440500894"/>
    <n v="39.55555668583623"/>
    <n v="27.4165869596393"/>
    <n v="27.4165869596393"/>
    <n v="39.433321131622513"/>
    <n v="-88.912641331423231"/>
    <n v="86.1184975125899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21"/>
    <s v="CDLRICKSHAWMAN_Bull"/>
    <n v="1"/>
  </r>
  <r>
    <d v="2021-10-22T00:00:00"/>
    <n v="13.329999923706055"/>
    <n v="12.5"/>
    <n v="13.100000381469727"/>
    <n v="12.939999580383301"/>
    <n v="6217000"/>
    <n v="12.939999580383301"/>
    <n v="13.399999618530273"/>
    <n v="-3.432836203300027E-2"/>
    <n v="-3.4931421844096013E-2"/>
    <n v="0.16000080108642578"/>
    <n v="0.43999958038330078"/>
    <n v="0.22999954223632813"/>
    <n v="1.2288848027712516E-2"/>
    <n v="2.749983608804754"/>
    <n v="1.4374899417665536"/>
    <n v="0.39720470358770521"/>
    <n v="0.42002429292405169"/>
    <n v="-0.19715184230781277"/>
    <n v="-86.124730676816796"/>
    <n v="-82.58349138042216"/>
    <n v="-78.47525051560244"/>
    <n v="-77.354763507693193"/>
    <n v="-3.0600004196166992"/>
    <n v="-1.523333231608073"/>
    <n v="-6217000"/>
    <n v="27485300"/>
    <n v="-86.134727420330265"/>
    <n v="-79.611378192526487"/>
    <n v="51.209912797073407"/>
    <n v="84.012454746036383"/>
    <n v="78.124118693336499"/>
    <n v="0.76714290891374859"/>
    <n v="83.396447175288728"/>
    <n v="27.057596132908461"/>
    <n v="13.609999656677246"/>
    <n v="14.637499809265137"/>
    <n v="15.696999835968018"/>
    <n v="1.1728333203230659"/>
    <n v="18.87690912246704"/>
    <n v="18.042666476614151"/>
    <n v="13.351333195321887"/>
    <n v="-0.39433284866302154"/>
    <n v="-3.1787761072431343E-2"/>
    <n v="0.29886814871097656"/>
    <n v="85.742698440403927"/>
    <n v="73.140038714445652"/>
    <n v="3.3834791819666492"/>
    <n v="15.701682623427047"/>
    <n v="-86.246583872194279"/>
    <n v="-69.411943723374705"/>
    <n v="14.530776278546011"/>
    <n v="-0.12293483382907411"/>
    <n v="-78.823698385535025"/>
    <n v="14.862951226377886"/>
    <n v="15.680531016650754"/>
    <n v="-0.21178759854227713"/>
    <n v="16.073095119406794"/>
    <n v="17.49887587549205"/>
    <n v="-0.35230884412236663"/>
    <n v="-75.759145692920185"/>
    <n v="18.394136616433656"/>
    <n v="-0.42149437503218184"/>
    <n v="-1.2101438930289081"/>
    <n v="-1.050141133725448"/>
    <n v="-0.16000275930346008"/>
    <n v="-86.443078092302969"/>
    <n v="9.2223543864996227"/>
    <n v="3708622.222222222"/>
    <n v="2624935"/>
    <n v="1893311.5"/>
    <n v="0.67636378888835647"/>
    <n v="1.3684395994567486"/>
    <n v="10.045654444972328"/>
    <n v="7.4791795014091891"/>
    <n v="7.4791795014091891"/>
    <n v="9.5418193665842441"/>
    <n v="-78.217476993713717"/>
    <n v="23.6941979232771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22"/>
    <s v="CDLHIGHWAVE_Bear"/>
    <n v="-1"/>
  </r>
  <r>
    <d v="2021-10-22T00:00:00"/>
    <n v="24.110000610351563"/>
    <n v="22.600000381469727"/>
    <n v="24"/>
    <n v="22.819999694824219"/>
    <n v="712200"/>
    <n v="22.819999694824219"/>
    <n v="24.25"/>
    <n v="-5.8969084749516787E-2"/>
    <n v="-6.0779286322734584E-2"/>
    <n v="1.1800003051757813"/>
    <n v="0.21999931335449219"/>
    <n v="0.1100006103515625"/>
    <n v="5.040582284780433E-2"/>
    <n v="0.18644004784534315"/>
    <n v="9.3220832121035782E-2"/>
    <n v="0.38755464124192418"/>
    <n v="0.44586787836703295"/>
    <n v="-8.1995930921078597E-2"/>
    <n v="-86.862747404388884"/>
    <n v="-82.215535746438363"/>
    <n v="-47.159498599947888"/>
    <n v="-52.074911003655572"/>
    <n v="-3.7000007629394531"/>
    <n v="6.7777845594618052E-2"/>
    <n v="-712200"/>
    <n v="-7107100"/>
    <n v="-87.21492034341324"/>
    <n v="-56.120751722574745"/>
    <n v="20.942161667563173"/>
    <n v="82.602470729824887"/>
    <n v="-77.499477040487733"/>
    <n v="1.0949999945504325"/>
    <n v="83.584138203749333"/>
    <n v="54.669473165556425"/>
    <n v="24.266666412353516"/>
    <n v="25.71625018119812"/>
    <n v="25.869500160217285"/>
    <n v="1.0796856834872317"/>
    <n v="29.908519525527954"/>
    <n v="28.028871527191747"/>
    <n v="23.710128793242824"/>
    <n v="-0.2282590666970494"/>
    <n v="-3.9006534194673724E-2"/>
    <n v="0.16694341627019085"/>
    <n v="69.833903364819804"/>
    <n v="-53.155393870850702"/>
    <n v="4.2289376859540511"/>
    <n v="23.407977978857133"/>
    <n v="-88.925752219867434"/>
    <n v="63.488779404210462"/>
    <n v="25.23271008687745"/>
    <n v="-0.10572788888338398"/>
    <n v="-53.531768633533758"/>
    <n v="25.472126692920188"/>
    <n v="25.926439191689575"/>
    <n v="-0.13612793770413259"/>
    <n v="26.116618118755568"/>
    <n v="26.874828563970837"/>
    <n v="-0.17768750759739449"/>
    <n v="-64.585254320486342"/>
    <n v="29.192696135995224"/>
    <n v="-0.2792592693424264"/>
    <n v="-0.64449142583537977"/>
    <n v="-0.42200386393855399"/>
    <n v="-0.22248756189682578"/>
    <n v="-87.751794520855427"/>
    <n v="78.329496796465321"/>
    <n v="394388.88888888888"/>
    <n v="605930"/>
    <n v="421617.5"/>
    <n v="0.80583180729680248"/>
    <n v="0.17538329510009398"/>
    <n v="4.5833197567176436"/>
    <n v="20.998581952373403"/>
    <n v="20.998581952373403"/>
    <n v="40.706925715019715"/>
    <n v="-88.602492013379504"/>
    <n v="87.7404307328020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23"/>
    <s v="CDLSPINNINGTOP_Bear"/>
    <n v="-1"/>
  </r>
  <r>
    <d v="2021-10-22T00:00:00"/>
    <n v="21.729999542236328"/>
    <n v="20.850000381469727"/>
    <n v="21.110000610351563"/>
    <n v="21.399999618530273"/>
    <n v="1548800"/>
    <n v="21.399999618530273"/>
    <n v="21.319999694824219"/>
    <n v="3.7523416909557294E-3"/>
    <n v="3.7453192185347194E-3"/>
    <n v="0.28999900817871094"/>
    <n v="0.26000022888183594"/>
    <n v="0.32999992370605469"/>
    <n v="1.3643801769809538E-2"/>
    <n v="0.89655557967154031"/>
    <n v="1.1379346632202731"/>
    <n v="0.54003352571303187"/>
    <n v="0.22302928264344302"/>
    <n v="-2.0352253661211926E-2"/>
    <n v="-83.153041000256593"/>
    <n v="-79.817236237753221"/>
    <n v="-53.613170542454796"/>
    <n v="-23.426079903101236"/>
    <n v="-1.1000003814697266"/>
    <n v="7.6666726006401911E-2"/>
    <n v="1548800"/>
    <n v="596000"/>
    <n v="-81.020131072940302"/>
    <n v="43.525077787089053"/>
    <n v="38.558977964971369"/>
    <n v="-87.269803418204575"/>
    <n v="-62.894568440988131"/>
    <n v="0.5557141985212054"/>
    <n v="51.177091291597549"/>
    <n v="-81.335834981491075"/>
    <n v="21.533332824707031"/>
    <n v="22.087500095367432"/>
    <n v="22.135500049591066"/>
    <n v="0.38097499415924047"/>
    <n v="17.748649992942809"/>
    <n v="22.897450037909547"/>
    <n v="21.373550061272585"/>
    <n v="-6.9974319909923269E-2"/>
    <n v="1.2359606415499977E-3"/>
    <n v="6.8844163141691228E-2"/>
    <n v="8.7614065830808219"/>
    <n v="-87.984772526578283"/>
    <n v="16.723509966823528"/>
    <n v="46.20665485555768"/>
    <n v="-88.202245550287373"/>
    <n v="-85.531093302780917"/>
    <n v="21.892032423770463"/>
    <n v="-2.2992187570608072E-2"/>
    <n v="-43.443195215498818"/>
    <n v="21.885621680849322"/>
    <n v="21.486188614484309"/>
    <n v="-4.0275232472155986E-3"/>
    <n v="21.191374958379011"/>
    <n v="20.120354397670155"/>
    <n v="5.9796506713582949E-2"/>
    <n v="79.161545854380748"/>
    <n v="18.301297610422615"/>
    <n v="0.14479916183851191"/>
    <n v="0.69424672247031083"/>
    <n v="1.0068725681981676"/>
    <n v="-0.31262584572785679"/>
    <n v="-85.066594634590828"/>
    <n v="-83.777751683769779"/>
    <n v="1135955.5555555555"/>
    <n v="1041805"/>
    <n v="814841"/>
    <n v="0.36343362416369973"/>
    <n v="0.48665057280393165"/>
    <n v="27.499961853027344"/>
    <n v="20.486831582185626"/>
    <n v="20.486831582185626"/>
    <n v="26.869002392952293"/>
    <n v="-89.143546874954822"/>
    <n v="-86.7340177876006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24"/>
    <s v="NO_PATTERN"/>
    <n v="0"/>
  </r>
  <r>
    <d v="2021-10-22T00:00:00"/>
    <n v="2.630000114440918"/>
    <n v="2.380000114440918"/>
    <n v="2.619999885559082"/>
    <n v="2.5"/>
    <n v="2962900"/>
    <n v="2.5"/>
    <n v="2.619999885559082"/>
    <n v="-4.5801485038414524E-2"/>
    <n v="-4.6883542219109793E-2"/>
    <n v="0.11999988555908203"/>
    <n v="0.11999988555908203"/>
    <n v="1.0000228881835938E-2"/>
    <n v="4.6874956344253337E-2"/>
    <n v="1"/>
    <n v="8.3335320156720627E-2"/>
    <n v="0.61104528657932045"/>
    <n v="0.67919820735731762"/>
    <n v="-0.11689373110834647"/>
    <n v="-82.002509331095951"/>
    <n v="-73.549181327996934"/>
    <n v="-21.547253337149254"/>
    <n v="-13.797087212558894"/>
    <n v="-0.33999991416931152"/>
    <n v="8.0000003178914383E-2"/>
    <n v="-2962900"/>
    <n v="33492800"/>
    <n v="-85.371081872978309"/>
    <n v="-39.903279068956458"/>
    <n v="33.241643909494336"/>
    <n v="-80.31445909807745"/>
    <n v="-86.670828679021213"/>
    <n v="0.17928567954472133"/>
    <n v="2.7174522475716437E-4"/>
    <n v="35.475461730739866"/>
    <n v="2.6199999650319419"/>
    <n v="2.8287499845027924"/>
    <n v="2.8134999990463259"/>
    <n v="0.14893569423780087"/>
    <n v="3.9864000010490419"/>
    <n v="3.1113713875219275"/>
    <n v="2.5156286105707242"/>
    <n v="-0.24454855500877101"/>
    <n v="-6.2514442282896711E-3"/>
    <n v="0.21174436721277359"/>
    <n v="5.8664854175321599"/>
    <n v="-81.267637328149277"/>
    <n v="12.448290933445222"/>
    <n v="30.864422513527487"/>
    <n v="-88.342081538821645"/>
    <n v="77.030983100654836"/>
    <n v="2.7540344635097611"/>
    <n v="-0.10161378540390445"/>
    <n v="-31.758692801157537"/>
    <n v="2.7884177930167628"/>
    <n v="2.8929023996564833"/>
    <n v="-0.15716095986259332"/>
    <n v="2.9570629824503758"/>
    <n v="3.2429099066561107"/>
    <n v="-0.29716396266244427"/>
    <n v="-55.527258745462049"/>
    <n v="4.0205893863018538"/>
    <n v="-0.60823575452074152"/>
    <n v="-0.16864518943361295"/>
    <n v="-0.17249914319091789"/>
    <n v="3.8539537573049343E-3"/>
    <n v="-85.224086924070306"/>
    <n v="71.020426482053793"/>
    <n v="1340600"/>
    <n v="1288505"/>
    <n v="1068512.5"/>
    <n v="1.2101297926301657"/>
    <n v="1.2994866143321135"/>
    <n v="16.438345426820007"/>
    <n v="20.024904860102748"/>
    <n v="20.024904860102748"/>
    <n v="33.74568078695922"/>
    <n v="-88.857570880525472"/>
    <n v="87.3157059757209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25"/>
    <s v="CDL3INSIDE_Bull"/>
    <n v="1"/>
  </r>
  <r>
    <d v="2021-10-22T00:00:00"/>
    <n v="22.200000762939453"/>
    <n v="19.530000686645508"/>
    <n v="21.549999237060547"/>
    <n v="20.180000305175781"/>
    <n v="19306700"/>
    <n v="20.180000305175781"/>
    <n v="22.149999618530273"/>
    <n v="-8.8939022450656324E-2"/>
    <n v="-9.31454492208873E-2"/>
    <n v="1.3699989318847656"/>
    <n v="0.64999961853027344"/>
    <n v="0.65000152587890625"/>
    <n v="6.5660146029867264E-2"/>
    <n v="0.47445264620465172"/>
    <n v="0.47445403843101658"/>
    <n v="0.60072503944153999"/>
    <n v="0.61986049194819171"/>
    <n v="-5.4953554935435051E-2"/>
    <n v="-80.952814519360601"/>
    <n v="-42.316793335281844"/>
    <n v="-29.513567408451866"/>
    <n v="-42.596234260600149"/>
    <n v="-1.9699993133544922"/>
    <n v="-0.35777770148383248"/>
    <n v="-19306700"/>
    <n v="283631800"/>
    <n v="-81.181556593111893"/>
    <n v="-46.714117614350386"/>
    <n v="12.190949398048941"/>
    <n v="51.498834079313035"/>
    <n v="-53.632536480705475"/>
    <n v="1.3300001961844308"/>
    <n v="82.56122146927153"/>
    <n v="66.995005791643138"/>
    <n v="21.633333206176758"/>
    <n v="21.921249866485596"/>
    <n v="22.183999824523926"/>
    <n v="0.83096889657455686"/>
    <n v="25.330412454605103"/>
    <n v="23.845937617673041"/>
    <n v="20.522062031374812"/>
    <n v="-0.18166190570160781"/>
    <n v="-1.6950531269878059E-2"/>
    <n v="0.14983211380229805"/>
    <n v="40.738583814825759"/>
    <n v="-48.558535865164835"/>
    <n v="22.395564234644496"/>
    <n v="36.468789360454856"/>
    <n v="-86.423992811243806"/>
    <n v="69.548379717243165"/>
    <n v="21.78065099607063"/>
    <n v="-7.931866534631879E-2"/>
    <n v="-11.907330027725761"/>
    <n v="21.913720718160381"/>
    <n v="22.272628637928385"/>
    <n v="-0.10369813186850571"/>
    <n v="22.459413544030451"/>
    <n v="23.201213816537528"/>
    <n v="-0.14971325399766541"/>
    <n v="-52.465290812044849"/>
    <n v="23.103971980470423"/>
    <n v="-0.14489453077682557"/>
    <n v="-0.54569282587006995"/>
    <n v="-0.51025790325887233"/>
    <n v="-3.5434922611197628E-2"/>
    <n v="-77.137998009049952"/>
    <n v="68.390638285009288"/>
    <n v="7614777.777777778"/>
    <n v="6956745"/>
    <n v="7842788"/>
    <n v="1.5354252695781594"/>
    <n v="1.7752490568505817"/>
    <n v="16.752571111429003"/>
    <n v="42.446917575658752"/>
    <n v="42.446917575658752"/>
    <n v="46.044388953155938"/>
    <n v="81.994934079138744"/>
    <n v="83.599485226413535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126"/>
    <s v="CDLCLOSINGMARUBOZU_Bear"/>
    <n v="-1"/>
  </r>
  <r>
    <d v="2021-10-22T00:00:00"/>
    <n v="5.570000171661377"/>
    <n v="4.9899997711181641"/>
    <n v="5.570000171661377"/>
    <n v="5.0999999046325684"/>
    <n v="6140800"/>
    <n v="5.0999999046325684"/>
    <n v="5.5999999046325684"/>
    <n v="-8.9285715806241006E-2"/>
    <n v="-9.3526059680421436E-2"/>
    <n v="0.47000026702880859"/>
    <n v="0.1100001335144043"/>
    <n v="0"/>
    <n v="8.8097518963103083E-2"/>
    <n v="0.23404270429416982"/>
    <n v="0"/>
    <n v="0.52670145517913014"/>
    <n v="0.61785628861624264"/>
    <n v="-0.12689176396569693"/>
    <n v="-85.271308039811288"/>
    <n v="-79.983467415421657"/>
    <n v="-51.073385162059068"/>
    <n v="-74.394921923137062"/>
    <n v="-0.8899998664855957"/>
    <n v="-0.26777776082356769"/>
    <n v="-6140800"/>
    <n v="17732900"/>
    <n v="-85.608301889184716"/>
    <n v="-71.517713863282339"/>
    <n v="30.045364544336838"/>
    <n v="77.431177999514773"/>
    <n v="-57.175697094673374"/>
    <n v="0.34999997275216238"/>
    <n v="63.746433251619081"/>
    <n v="21.14376813247965"/>
    <n v="5.4499999682108564"/>
    <n v="5.7725000381469727"/>
    <n v="6.0109999895095827"/>
    <n v="0.44922035447151659"/>
    <n v="7.0995985555648806"/>
    <n v="6.9094406984526158"/>
    <n v="5.1125592805665496"/>
    <n v="-0.3547923191481725"/>
    <n v="-2.4626227782029949E-3"/>
    <n v="0.29893219448045077"/>
    <n v="-31.381987542775921"/>
    <n v="71.602221654315258"/>
    <n v="7.6906169787584417"/>
    <n v="27.241096777396251"/>
    <n v="-87.915137513826053"/>
    <n v="78.519448238275714"/>
    <n v="5.6915757776943368"/>
    <n v="-0.11599527139685088"/>
    <n v="-68.464034837697156"/>
    <n v="5.7806223864981501"/>
    <n v="6.0131278111114117"/>
    <n v="-0.1790446908929168"/>
    <n v="6.130691429206669"/>
    <n v="6.5850210442898618"/>
    <n v="-0.2911806210640081"/>
    <n v="-74.580841894049684"/>
    <n v="7.0936963747420503"/>
    <n v="-0.39092088380207896"/>
    <n v="-0.35006904270851891"/>
    <n v="-0.31925407876689749"/>
    <n v="-3.081496394162142E-2"/>
    <n v="-84.442696632240995"/>
    <n v="78.757673382088953"/>
    <n v="1567588.888888889"/>
    <n v="1587170"/>
    <n v="1651956.5"/>
    <n v="2.9173536145389591"/>
    <n v="2.8690247421511241"/>
    <n v="8.2706842396045044"/>
    <n v="23.351679558829428"/>
    <n v="23.351679558829428"/>
    <n v="30.550722736956374"/>
    <n v="-85.741911970286509"/>
    <n v="85.631353833448173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127"/>
    <s v="CDLHIKKAKE_Bull"/>
    <n v="1"/>
  </r>
  <r>
    <d v="2021-10-22T00:00:00"/>
    <n v="7.0799999237060547"/>
    <n v="6.5199999809265137"/>
    <n v="7.0799999237060547"/>
    <n v="6.7399997711181641"/>
    <n v="819500"/>
    <n v="6.7399997711181641"/>
    <n v="7.1599998474121094"/>
    <n v="-5.865922978277005E-2"/>
    <n v="-6.0450068695910408E-2"/>
    <n v="0.34000015258789063"/>
    <n v="0.21999979019165039"/>
    <n v="0"/>
    <n v="4.9204075267125426E-2"/>
    <n v="0.64705791605425844"/>
    <n v="0"/>
    <n v="0.44089488692471074"/>
    <n v="0.53972359932702507"/>
    <n v="-0.13704897410130762"/>
    <n v="-83.654587819333202"/>
    <n v="-79.899210751621609"/>
    <n v="-66.453595504824918"/>
    <n v="-55.254869989922767"/>
    <n v="-1.3000001907348633"/>
    <n v="-0.26555569966634113"/>
    <n v="-819500"/>
    <n v="25662900"/>
    <n v="-73.696003704653634"/>
    <n v="-52.033720925060088"/>
    <n v="43.101778371449299"/>
    <n v="83.666760583604784"/>
    <n v="-61.759600424906949"/>
    <n v="0.43428564071655273"/>
    <n v="67.352347851848023"/>
    <n v="13.93980271612171"/>
    <n v="7.1166664759318037"/>
    <n v="7.5724998712539673"/>
    <n v="7.8279998779296873"/>
    <n v="0.39286527246092795"/>
    <n v="11.542553367614746"/>
    <n v="8.6137304228515426"/>
    <n v="7.0422693330078312"/>
    <n v="-0.27800158981645295"/>
    <n v="-4.4847117530320141E-2"/>
    <n v="0.20074873714220395"/>
    <n v="80.22688331899117"/>
    <n v="-53.53881473303322"/>
    <n v="9.8062274653720465"/>
    <n v="25.986665338156214"/>
    <n v="-87.973456207768706"/>
    <n v="-74.702200739564375"/>
    <n v="7.4750576434939404"/>
    <n v="-0.10905903521326536"/>
    <n v="-67.437106978533265"/>
    <n v="7.5912433256023224"/>
    <n v="7.8711369211834787"/>
    <n v="-0.16782450867615673"/>
    <n v="8.0185776380056062"/>
    <n v="8.6866032035623917"/>
    <n v="-0.2888135754522862"/>
    <n v="-62.411325589314899"/>
    <n v="11.030971652213667"/>
    <n v="-0.63664273394828796"/>
    <n v="-0.42733431240328379"/>
    <n v="-0.37327994184523905"/>
    <n v="-5.405437055804474E-2"/>
    <n v="-85.277581486214899"/>
    <n v="-47.914502159199202"/>
    <n v="737988.88888888888"/>
    <n v="742495"/>
    <n v="799140.5"/>
    <n v="0.11045032294975843"/>
    <n v="0.1037111361019265"/>
    <n v="11.702118755302594"/>
    <n v="12.067927804221421"/>
    <n v="12.067927804221421"/>
    <n v="15.057368781228435"/>
    <n v="-87.27284910030798"/>
    <n v="67.807519514043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28"/>
    <s v="CDLSPINNINGTOP_Bear"/>
    <n v="-1"/>
  </r>
  <r>
    <d v="2021-10-22T00:00:00"/>
    <n v="13.090000152587891"/>
    <n v="12.409999847412109"/>
    <n v="12.680000305175781"/>
    <n v="13.090000152587891"/>
    <n v="2192900"/>
    <n v="13.090000152587891"/>
    <n v="12.810000419616699"/>
    <n v="2.1857901935929069E-2"/>
    <n v="2.1622442913031878E-2"/>
    <n v="0.40999984741210938"/>
    <n v="0.27000045776367188"/>
    <n v="0"/>
    <n v="3.1819933265743471E-2"/>
    <n v="0.6585379469477759"/>
    <n v="0"/>
    <n v="0.31665099688949622"/>
    <n v="0.54230902428003291"/>
    <n v="-9.537958851236375E-2"/>
    <n v="-87.293176880612549"/>
    <n v="-87.301587383409199"/>
    <n v="-84.596394276313248"/>
    <n v="-84.93943340133508"/>
    <n v="-1.3499994277954102"/>
    <n v="-1.2844440672132704"/>
    <n v="2192900"/>
    <n v="14812900"/>
    <n v="-84.30781791954729"/>
    <n v="56.855830103329318"/>
    <n v="25.24037931415122"/>
    <n v="-56.567551219612874"/>
    <n v="-85.466069211602516"/>
    <n v="0.56357145309448242"/>
    <n v="-72.948773602605755"/>
    <n v="-66.033315502538159"/>
    <n v="13.006666819254557"/>
    <n v="13.881250023841858"/>
    <n v="14.65049991607666"/>
    <n v="1.0266370539554599"/>
    <n v="13.157824273109435"/>
    <n v="16.703774023987581"/>
    <n v="12.59722580816574"/>
    <n v="-0.27607133913480114"/>
    <n v="3.7645098447514437E-2"/>
    <n v="0.28030089344019848"/>
    <n v="87.683183088924963"/>
    <n v="-80.927639832060947"/>
    <n v="31.401660229945676"/>
    <n v="34.294556018421204"/>
    <n v="-85.760865785487894"/>
    <n v="-84.199180559510239"/>
    <n v="13.727093091879539"/>
    <n v="-4.8670201059218085E-2"/>
    <n v="-85.244723553980961"/>
    <n v="13.900357620051771"/>
    <n v="14.095701451039918"/>
    <n v="-7.6829739245893036E-2"/>
    <n v="14.100412919138783"/>
    <n v="13.911716331944625"/>
    <n v="-6.2774344520865499E-2"/>
    <n v="49.843900708631004"/>
    <n v="13.313083722506265"/>
    <n v="-1.7042289329100662E-2"/>
    <n v="-0.20005529908701192"/>
    <n v="8.6303523995386988E-2"/>
    <n v="-0.28635882308239891"/>
    <n v="-88.136898202190068"/>
    <n v="-87.079591326936765"/>
    <n v="1590611.111111111"/>
    <n v="1582305"/>
    <n v="1262852.5"/>
    <n v="0.37865250951765583"/>
    <n v="0.38588957249076516"/>
    <n v="19.318187975685642"/>
    <n v="8.0826728151252603"/>
    <n v="8.0826728151252603"/>
    <n v="3.8028393134145824"/>
    <n v="-86.980638737488789"/>
    <n v="-85.719528982352458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129"/>
    <s v="NO_PATTERN"/>
    <n v="0"/>
  </r>
  <r>
    <d v="2021-10-22T00:00:00"/>
    <n v="32.659999847412109"/>
    <n v="30.889999389648438"/>
    <n v="32.619998931884766"/>
    <n v="32.020000457763672"/>
    <n v="1296500"/>
    <n v="32.020000457763672"/>
    <n v="32.959999084472656"/>
    <n v="-2.8519376602525903E-2"/>
    <n v="-2.8933955399600576E-2"/>
    <n v="0.59999847412109375"/>
    <n v="1.1300010681152344"/>
    <n v="4.000091552734375E-2"/>
    <n v="1.856430939933389E-2"/>
    <n v="1.8833399031064431"/>
    <n v="6.6668362091985303E-2"/>
    <n v="0.29541400361744291"/>
    <n v="0.45805347155852921"/>
    <n v="-1.3339744796581742E-2"/>
    <n v="-86.415009511529291"/>
    <n v="47.934107999243516"/>
    <n v="50.019829291811767"/>
    <n v="36.557207425139261"/>
    <n v="-1.3699989318847656"/>
    <n v="0.51666662428114152"/>
    <n v="-1296500"/>
    <n v="-6931600"/>
    <n v="-56.78837026388193"/>
    <n v="83.993421972918654"/>
    <n v="16.945899318042169"/>
    <n v="-82.040995512098462"/>
    <n v="-83.539799882694254"/>
    <n v="1.5114280155726842"/>
    <n v="11.994652718909588"/>
    <n v="62.530910033249647"/>
    <n v="33.203333536783852"/>
    <n v="33.462500095367432"/>
    <n v="33.136000347137454"/>
    <n v="0.86523747749553426"/>
    <n v="37.735799970626829"/>
    <n v="34.866475302128521"/>
    <n v="31.405525392146387"/>
    <n v="-8.8896777129017293E-2"/>
    <n v="1.9190351556297277E-2"/>
    <n v="0.10444682139439672"/>
    <n v="-83.532775828843725"/>
    <n v="-78.432449263277974"/>
    <n v="24.506666797662461"/>
    <n v="40.565636005999181"/>
    <n v="-88.000904867751373"/>
    <n v="78.599470700463542"/>
    <n v="33.2698062658243"/>
    <n v="-3.9032035921086207E-2"/>
    <n v="67.527210054464362"/>
    <n v="33.330753970186464"/>
    <n v="33.552752859324379"/>
    <n v="-4.7868593992760881E-2"/>
    <n v="33.687129372351798"/>
    <n v="34.335538008563397"/>
    <n v="-7.231535033405323E-2"/>
    <n v="-68.500143624830983"/>
    <n v="36.435089079629464"/>
    <n v="-0.13788533912388795"/>
    <n v="-0.35637540216533381"/>
    <n v="-0.39023553478112039"/>
    <n v="3.3860132615786576E-2"/>
    <n v="-81.458458351996782"/>
    <n v="82.655403551623564"/>
    <n v="1201122.2222222222"/>
    <n v="2202500"/>
    <n v="994120"/>
    <n v="7.940722102478226E-2"/>
    <n v="-0.41135073779795683"/>
    <n v="24.511950509895041"/>
    <n v="46.561640654324954"/>
    <n v="46.561640654324954"/>
    <n v="58.739535373961054"/>
    <n v="79.029609492069554"/>
    <n v="86.742302239997429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30"/>
    <s v="CDLBELTHOLD_Bear"/>
    <n v="-1"/>
  </r>
  <r>
    <d v="2021-10-22T00:00:00"/>
    <n v="21.090000152587891"/>
    <n v="19.840000152587891"/>
    <n v="20.920000076293945"/>
    <n v="20.829999923706055"/>
    <n v="376000"/>
    <n v="20.829999923706055"/>
    <n v="21.229999542236328"/>
    <n v="-1.8841244802407453E-2"/>
    <n v="-1.9021002542865647E-2"/>
    <n v="9.0000152587890625E-2"/>
    <n v="0.98999977111816406"/>
    <n v="0.17000007629394531"/>
    <n v="4.3113845551085326E-3"/>
    <n v="10.999978807273344"/>
    <n v="1.8888865341414827"/>
    <n v="0.32647306345807453"/>
    <n v="0.31786143788320953"/>
    <n v="-3.5372704684402567E-2"/>
    <n v="-82.369609060522066"/>
    <n v="-75.213203422650224"/>
    <n v="-46.762659610568512"/>
    <n v="-62.227165110781769"/>
    <n v="-1.3299999237060547"/>
    <n v="-0.3488888210720486"/>
    <n v="-376000"/>
    <n v="10034200"/>
    <n v="-77.934029238684488"/>
    <n v="-70.370970008137405"/>
    <n v="19.464578878838363"/>
    <n v="82.406677171775684"/>
    <n v="-80.72063484020029"/>
    <n v="0.74714292798723492"/>
    <n v="21.629877473133192"/>
    <n v="-64.951386483164839"/>
    <n v="21.263333002726238"/>
    <n v="21.723750114440918"/>
    <n v="22.050000190734863"/>
    <n v="0.59613684282485124"/>
    <n v="21.140444879531859"/>
    <n v="23.242273876384566"/>
    <n v="20.857726505085161"/>
    <n v="-0.11580767938136995"/>
    <n v="-1.3310888852933332E-3"/>
    <n v="0.10814273699196439"/>
    <n v="-81.368476863159515"/>
    <n v="-60.565161734830887"/>
    <n v="9.5255183247598723"/>
    <n v="28.824087707817426"/>
    <n v="-87.241777018893856"/>
    <n v="-57.338100152505028"/>
    <n v="21.622707837412698"/>
    <n v="-3.8056068968319277E-2"/>
    <n v="-64.190639958944161"/>
    <n v="21.770039600670348"/>
    <n v="22.103847178062729"/>
    <n v="-6.1154453145577957E-2"/>
    <n v="22.208991865263474"/>
    <n v="22.253458245656532"/>
    <n v="-6.8336933613258349E-2"/>
    <n v="-45.440672386790588"/>
    <n v="21.756140800426895"/>
    <n v="-4.4461876145607877E-2"/>
    <n v="-0.43895226459312653"/>
    <n v="-0.32196592862015416"/>
    <n v="-0.11698633597297237"/>
    <n v="-73.915366091239079"/>
    <n v="80.865858012834195"/>
    <n v="297622.22222222225"/>
    <n v="354130"/>
    <n v="427229"/>
    <n v="0.26334652430374073"/>
    <n v="6.1756981899302454E-2"/>
    <n v="30.841123161279743"/>
    <n v="27.558165426325303"/>
    <n v="27.558165426325303"/>
    <n v="30.096814615038699"/>
    <n v="-85.068346353634468"/>
    <n v="82.6869786175907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31"/>
    <s v="CDLBELTHOLD_Bear"/>
    <n v="-1"/>
  </r>
  <r>
    <d v="2021-10-22T00:00:00"/>
    <n v="10.630000114440918"/>
    <n v="9.8299999237060547"/>
    <n v="10.470000267028809"/>
    <n v="10.329999923706055"/>
    <n v="1579400"/>
    <n v="10.329999923706055"/>
    <n v="10.640000343322754"/>
    <n v="-2.9135376843408056E-2"/>
    <n v="-2.9568240434794307E-2"/>
    <n v="0.14000034332275391"/>
    <n v="0.5"/>
    <n v="0.15999984741210938"/>
    <n v="1.3461571349899849E-2"/>
    <n v="3.5714198132165311"/>
    <n v="1.1428532503184583"/>
    <n v="0.58775118832173012"/>
    <n v="0.47931178972212557"/>
    <n v="-2.5801761359851447E-2"/>
    <n v="-82.965000784203824"/>
    <n v="-77.804328077366506"/>
    <n v="-9.3478426816124358"/>
    <n v="-23.079420992834361"/>
    <n v="-1.2300004959106445"/>
    <n v="0.30666648017035592"/>
    <n v="-1579400"/>
    <n v="127190800"/>
    <n v="-73.043970507754352"/>
    <n v="-12.713202439346265"/>
    <n v="27.177786542102297"/>
    <n v="77.340273692977945"/>
    <n v="-80.991141332322513"/>
    <n v="0.53500005177089149"/>
    <n v="-54.896931977359408"/>
    <n v="-71.022598546401767"/>
    <n v="10.683333396911621"/>
    <n v="11.28125"/>
    <n v="11.22950005531311"/>
    <n v="0.48321803123035972"/>
    <n v="11.803765015602112"/>
    <n v="12.195936117773829"/>
    <n v="10.263063992852391"/>
    <n v="-0.18063274035323904"/>
    <n v="6.4797610211064843E-3"/>
    <n v="0.17212450379809399"/>
    <n v="-54.539715658458633"/>
    <n v="-69.429450168876826"/>
    <n v="6.6210969640258526"/>
    <n v="29.686815818974253"/>
    <n v="-87.967902652811716"/>
    <n v="69.989548404354693"/>
    <n v="11.05561119832228"/>
    <n v="-7.0243105515522666E-2"/>
    <n v="-33.499594444093233"/>
    <n v="11.149357669333934"/>
    <n v="11.423858463931046"/>
    <n v="-0.10589143739630846"/>
    <n v="11.590786062714271"/>
    <n v="12.300790866889471"/>
    <n v="-0.19078324857105744"/>
    <n v="-61.113571709302995"/>
    <n v="11.638797383115362"/>
    <n v="-0.12669869013317039"/>
    <n v="-0.44142839338033646"/>
    <n v="-0.44328479902390872"/>
    <n v="1.8564056435722565E-3"/>
    <n v="-87.41992335468322"/>
    <n v="80.906398787366001"/>
    <n v="1197666.6666666667"/>
    <n v="1359680"/>
    <n v="3340161"/>
    <n v="0.31873086557194541"/>
    <n v="0.16159684631678051"/>
    <n v="22.026427276256285"/>
    <n v="26.224612849120174"/>
    <n v="26.224612849120174"/>
    <n v="37.322138048815887"/>
    <n v="-88.160304728031875"/>
    <n v="86.3849121067030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32"/>
    <s v="NO_PATTERN"/>
    <n v="0"/>
  </r>
  <r>
    <d v="2021-10-22T00:00:00"/>
    <n v="1.4199999570846558"/>
    <n v="1.309999942779541"/>
    <n v="1.3899999856948853"/>
    <n v="1.3700000047683716"/>
    <n v="2476900"/>
    <n v="1.3700000047683716"/>
    <n v="1.3899999856948853"/>
    <n v="-1.4388475634778741E-2"/>
    <n v="-1.4492993530554128E-2"/>
    <n v="1.9999980926513672E-2"/>
    <n v="6.0000061988830566E-2"/>
    <n v="2.9999971389770508E-2"/>
    <n v="1.449273985189887E-2"/>
    <n v="3.0000059604701619"/>
    <n v="1.5"/>
    <n v="0.70688565515126323"/>
    <n v="0.53368799076040918"/>
    <n v="-3.5846098070498433E-2"/>
    <n v="-80.648342313516025"/>
    <n v="-56.320961042939722"/>
    <n v="-18.56945014033672"/>
    <n v="-8.6827000289239642"/>
    <n v="-7.0000052452087402E-2"/>
    <n v="4.4444666968451608E-3"/>
    <n v="-2476900"/>
    <n v="22059100"/>
    <n v="-19.051445909240236"/>
    <n v="72.137680206465944"/>
    <n v="15.092071569096294"/>
    <n v="81.620411901370488"/>
    <n v="40.227237402150706"/>
    <n v="7.6428600719996867E-2"/>
    <n v="73.986742158895851"/>
    <n v="-80.994961657603469"/>
    <n v="1.4066666762034099"/>
    <n v="1.4387500286102295"/>
    <n v="1.4375000119209289"/>
    <n v="2.989016953264623E-2"/>
    <n v="1.6008500003814696"/>
    <n v="1.4972803509862214"/>
    <n v="1.3777196728556365"/>
    <n v="-9.2905361879447076E-2"/>
    <n v="-5.6347942046686729E-3"/>
    <n v="8.3172644966323289E-2"/>
    <n v="-85.764332848629493"/>
    <n v="-70.309758569556436"/>
    <n v="19.12880354289095"/>
    <n v="37.994666962227178"/>
    <n v="-87.471160491813563"/>
    <n v="-21.244154338807729"/>
    <n v="1.4272829049584472"/>
    <n v="-4.181233575963423E-2"/>
    <n v="-13.367121089069192"/>
    <n v="1.4336837295453746"/>
    <n v="1.4501746633140551"/>
    <n v="-5.8521648369803315E-2"/>
    <n v="1.4606775956213318"/>
    <n v="1.5181166737619489"/>
    <n v="-0.10811435655331965"/>
    <n v="-66.476314338687573"/>
    <n v="1.6119026561519247"/>
    <n v="-0.1765712777675881"/>
    <n v="-2.6993866075957218E-2"/>
    <n v="-2.5640149058057317E-2"/>
    <n v="-1.3537170178999011E-3"/>
    <n v="-79.33973507522721"/>
    <n v="37.579554929623242"/>
    <n v="2515588.888888889"/>
    <n v="1954455"/>
    <n v="3331832"/>
    <n v="-1.5379654863230674E-2"/>
    <n v="0.26730981270993714"/>
    <n v="22.222236939413005"/>
    <n v="22.407414299958692"/>
    <n v="22.407414299958692"/>
    <n v="32.885819688512377"/>
    <n v="47.387654576718546"/>
    <n v="85.271729296198615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133"/>
    <s v="CDLHIKKAKE_Bear"/>
    <n v="-1"/>
  </r>
  <r>
    <d v="2021-10-22T00:00:00"/>
    <n v="18.809999465942383"/>
    <n v="17.600000381469727"/>
    <n v="18.739999771118164"/>
    <n v="18.319999694824219"/>
    <n v="664400"/>
    <n v="18.319999694824219"/>
    <n v="18.819999694824219"/>
    <n v="-2.6567481833568163E-2"/>
    <n v="-2.6926775353812295E-2"/>
    <n v="0.42000007629394531"/>
    <n v="0.71999931335449219"/>
    <n v="6.999969482421875E-2"/>
    <n v="2.2665951556740817E-2"/>
    <n v="1.7142837680119527"/>
    <n v="0.16666590978242607"/>
    <n v="0.6330957007707495"/>
    <n v="0.46912825530988606"/>
    <n v="1.3740254872312733E-2"/>
    <n v="-74.089195313329057"/>
    <n v="-29.100534962046364"/>
    <n v="40.218665984683042"/>
    <n v="-37.648256997211156"/>
    <n v="-0.40999984741210938"/>
    <n v="0.26444456312391496"/>
    <n v="-664400"/>
    <n v="20968485"/>
    <n v="-80.98390142840843"/>
    <n v="-21.723594291135491"/>
    <n v="22.540270491851512"/>
    <n v="-54.557830563162291"/>
    <n v="-68.536038262083153"/>
    <n v="0.92785699026925228"/>
    <n v="66.269792464626903"/>
    <n v="-39.244914412450264"/>
    <n v="18.883333206176758"/>
    <n v="19.105000019073486"/>
    <n v="19.114999961853027"/>
    <n v="0.78080579039806408"/>
    <n v="23.666671738624572"/>
    <n v="20.676611542649155"/>
    <n v="17.553388381056898"/>
    <n v="-0.12863602003720165"/>
    <n v="4.1845596426723981E-2"/>
    <n v="0.16339121987052774"/>
    <n v="-65.611820581975792"/>
    <n v="-38.667592721327701"/>
    <n v="25.026273678462175"/>
    <n v="39.420159903005924"/>
    <n v="-86.27522559382372"/>
    <n v="82.659857061399109"/>
    <n v="18.943386156984722"/>
    <n v="-3.4027645881272765E-2"/>
    <n v="20.123216075019513"/>
    <n v="19.009609453838436"/>
    <n v="19.286542474827232"/>
    <n v="-5.2758886250204591E-2"/>
    <n v="19.469261509653411"/>
    <n v="20.402561154840971"/>
    <n v="-0.11367693748407205"/>
    <n v="-58.572710900626205"/>
    <n v="21.249208607089475"/>
    <n v="-0.15989131883516455"/>
    <n v="-0.45965205581497415"/>
    <n v="-0.5305273517354181"/>
    <n v="7.0875295920443948E-2"/>
    <n v="-69.762315110482135"/>
    <n v="80.331489454766938"/>
    <n v="551733.33333333337"/>
    <n v="536970"/>
    <n v="1206266.5"/>
    <n v="0.20420492991783457"/>
    <n v="0.23731307149375191"/>
    <n v="32.499954303098406"/>
    <n v="55.97218767359854"/>
    <n v="55.97218767359854"/>
    <n v="62.124006188862552"/>
    <n v="82.249846337735505"/>
    <n v="83.334177309433869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34"/>
    <s v="CDLBELTHOLD_Bear"/>
    <n v="-1"/>
  </r>
  <r>
    <d v="2021-10-22T00:00:00"/>
    <n v="81.540000915527344"/>
    <n v="76.319999694824219"/>
    <n v="81.540000915527344"/>
    <n v="80.419998168945313"/>
    <n v="601200"/>
    <n v="80.419998168945313"/>
    <n v="81.550003051757813"/>
    <n v="-1.3856589092894445E-2"/>
    <n v="-1.3953487788465514E-2"/>
    <n v="1.1200027465820313"/>
    <n v="4.0999984741210938"/>
    <n v="0"/>
    <n v="1.3830609445704889E-2"/>
    <n v="3.6607039461584048"/>
    <n v="0"/>
    <n v="0.44944373434053675"/>
    <n v="0.4798373871744917"/>
    <n v="5.5214633883810767E-2"/>
    <n v="-80.05959375238659"/>
    <n v="56.273616670689186"/>
    <n v="67.782172968180717"/>
    <n v="28.346842602434283"/>
    <n v="2.2599945068359375"/>
    <n v="3.6122207641601563"/>
    <n v="-601200"/>
    <n v="16419200"/>
    <n v="-76.725982073950689"/>
    <n v="-31.262798166796287"/>
    <n v="21.901406851737125"/>
    <n v="-83.593813406545507"/>
    <n v="-78.46595428479057"/>
    <n v="3.8578583853585378"/>
    <n v="81.791605823408887"/>
    <n v="-53.521437828288946"/>
    <n v="82.220001220703125"/>
    <n v="82.602499008178711"/>
    <n v="80.566499328613276"/>
    <n v="2.8189418073082364"/>
    <n v="77.146346340179448"/>
    <n v="86.204382943229746"/>
    <n v="74.928615713996805"/>
    <n v="-7.1927193558655289E-2"/>
    <n v="6.8283792339963512E-2"/>
    <n v="0.13995602791728026"/>
    <n v="37.941968830685987"/>
    <n v="-82.504040100404424"/>
    <n v="33.59047837642494"/>
    <n v="46.085885632159091"/>
    <n v="-87.269562459653372"/>
    <n v="85.55891487447488"/>
    <n v="81.725780155511742"/>
    <n v="-1.623703079205821E-2"/>
    <n v="69.020620994949496"/>
    <n v="81.618268980948102"/>
    <n v="82.116205603599312"/>
    <n v="-2.109186114491856E-2"/>
    <n v="82.667399645568295"/>
    <n v="85.060574458431333"/>
    <n v="-5.7704257586989202E-2"/>
    <n v="-51.927854841668541"/>
    <n v="76.154959234420602"/>
    <n v="5.3034556473935388E-2"/>
    <n v="-1.0491306646201934"/>
    <n v="-1.7789421842673456"/>
    <n v="0.72981151964715218"/>
    <n v="-84.257588317085265"/>
    <n v="86.587574724907967"/>
    <n v="365622.22222222225"/>
    <n v="310840"/>
    <n v="399629.5"/>
    <n v="0.64432018476873498"/>
    <n v="0.93411401364045821"/>
    <n v="44.153720716826022"/>
    <n v="58.871648416635942"/>
    <n v="58.871648416635942"/>
    <n v="66.484980798981113"/>
    <n v="-60.480675231433409"/>
    <n v="87.305283823109008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35"/>
    <s v="NO_PATTERN"/>
    <n v="0"/>
  </r>
  <r>
    <d v="2021-10-22T00:00:00"/>
    <n v="10.850000381469727"/>
    <n v="9.9099998474121094"/>
    <n v="10.760000228881836"/>
    <n v="10.630000114440918"/>
    <n v="3915400"/>
    <n v="10.630000114440918"/>
    <n v="10.890000343322754"/>
    <n v="-2.3875135049123863E-2"/>
    <n v="-2.4164765351592146E-2"/>
    <n v="0.13000011444091797"/>
    <n v="0.72000026702880859"/>
    <n v="9.0000152587890625E-2"/>
    <n v="1.2155223221536757E-2"/>
    <n v="5.538458716942376"/>
    <n v="0.69230825661152473"/>
    <n v="0.64139543939799704"/>
    <n v="0.85823645702992857"/>
    <n v="-7.8666832249504118E-2"/>
    <n v="-86.388763679175469"/>
    <n v="-81.82572221713167"/>
    <n v="-46.501280808347637"/>
    <n v="-69.431015794140365"/>
    <n v="-1.369999885559082"/>
    <n v="6.1111026340060763E-2"/>
    <n v="-3915400"/>
    <n v="9347600"/>
    <n v="-85.07025571752169"/>
    <n v="-60.714644402282097"/>
    <n v="15.110210598202405"/>
    <n v="73.979088863963852"/>
    <n v="-73.264471607768343"/>
    <n v="0.70714289801461361"/>
    <n v="-82.522104246894529"/>
    <n v="-73.525008658431858"/>
    <n v="10.956666946411133"/>
    <n v="11.863750100135803"/>
    <n v="12.044500207901001"/>
    <n v="0.86979415044487562"/>
    <n v="11.282584574222565"/>
    <n v="13.784088508790752"/>
    <n v="10.304911907011249"/>
    <n v="-0.29671574415742352"/>
    <n v="3.0582145242692406E-2"/>
    <n v="0.28886018861099932"/>
    <n v="74.073304493271351"/>
    <n v="48.211504372740706"/>
    <n v="9.0233971151345571"/>
    <n v="32.192891113083192"/>
    <n v="-87.716601399591582"/>
    <n v="-7.9124454582518942"/>
    <n v="11.581818980006114"/>
    <n v="-8.9540814235001209E-2"/>
    <n v="-56.711812671089135"/>
    <n v="11.724648259166599"/>
    <n v="12.075479273054306"/>
    <n v="-0.13598110470852168"/>
    <n v="12.261761596256235"/>
    <n v="12.952958525365331"/>
    <n v="-0.21852854053770515"/>
    <n v="-70.097433005743596"/>
    <n v="12.179594034582795"/>
    <n v="-0.1457755318399992"/>
    <n v="-0.53711333708963593"/>
    <n v="-0.47620825521074606"/>
    <n v="-6.0905081878889877E-2"/>
    <n v="-87.901102618979891"/>
    <n v="79.870394933342624"/>
    <n v="2527444.4444444445"/>
    <n v="3557830"/>
    <n v="3540495.5"/>
    <n v="0.54915373455840322"/>
    <n v="0.10050227245259058"/>
    <n v="24.573385393747021"/>
    <n v="17.964592733377277"/>
    <n v="17.964592733377277"/>
    <n v="27.837756974762311"/>
    <n v="-80.628599330173003"/>
    <n v="77.7088675946170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36"/>
    <s v="CDLHIKKAKE_Bear"/>
    <n v="-1"/>
  </r>
  <r>
    <d v="2021-10-22T00:00:00"/>
    <n v="12.300000190734863"/>
    <n v="11.079999923706055"/>
    <n v="12.300000190734863"/>
    <n v="11.789999961853027"/>
    <n v="6371900"/>
    <n v="11.789999961853027"/>
    <n v="12.550000190734863"/>
    <n v="-6.0557786241542177E-2"/>
    <n v="-6.2468969462046525E-2"/>
    <n v="0.51000022888183594"/>
    <n v="0.71000003814697266"/>
    <n v="0"/>
    <n v="4.2341239157447551E-2"/>
    <n v="1.3921563127601566"/>
    <n v="0"/>
    <n v="0.44367797238412787"/>
    <n v="0.54550277907615563"/>
    <n v="-0.11372241010822509"/>
    <n v="-86.604451368515825"/>
    <n v="-77.554684050835164"/>
    <n v="-30.524174876173536"/>
    <n v="-51.966422693368493"/>
    <n v="-1.6599998474121094"/>
    <n v="-1.6666730244954426E-2"/>
    <n v="-6371900"/>
    <n v="123311900"/>
    <n v="-81.589516615328833"/>
    <n v="51.082742243095446"/>
    <n v="18.861718831596239"/>
    <n v="4.6342257346759892"/>
    <n v="-47.40788872235882"/>
    <n v="0.83142845971243717"/>
    <n v="86.306493036394983"/>
    <n v="77.890482025951997"/>
    <n v="12.566666603088379"/>
    <n v="13.504999995231628"/>
    <n v="13.610000038146973"/>
    <n v="0.70232693638378518"/>
    <n v="12.263182725906372"/>
    <n v="15.014653910914543"/>
    <n v="12.205346165379403"/>
    <n v="-0.27350754533460564"/>
    <n v="-3.5228685739630491E-2"/>
    <n v="0.20641496970323539"/>
    <n v="85.949654358807308"/>
    <n v="73.360614761444182"/>
    <n v="8.5621094895495986"/>
    <n v="27.332507456534898"/>
    <n v="-88.350947037368925"/>
    <n v="56.516101336376991"/>
    <n v="13.202779388395314"/>
    <n v="-0.11982862011139826"/>
    <n v="-14.447360500761203"/>
    <n v="13.335815108865141"/>
    <n v="13.600064988767793"/>
    <n v="-0.15352544807220495"/>
    <n v="13.72076158669087"/>
    <n v="14.077956122339261"/>
    <n v="-0.19405904731882939"/>
    <n v="-41.698834136342796"/>
    <n v="12.564306200686124"/>
    <n v="-6.5674829630058731E-2"/>
    <n v="-0.38494647782572855"/>
    <n v="-0.27394088518251236"/>
    <n v="-0.11100559264321619"/>
    <n v="-88.192591060152182"/>
    <n v="74.910741802677009"/>
    <n v="3064200"/>
    <n v="2374035"/>
    <n v="2838686.5"/>
    <n v="1.0794660922916259"/>
    <n v="1.6839958130356125"/>
    <n v="16.784868910378748"/>
    <n v="20.207206799370212"/>
    <n v="20.207206799370212"/>
    <n v="33.59060731587239"/>
    <n v="-87.312457747766004"/>
    <n v="83.8157399767115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37"/>
    <s v="CDLBELTHOLD_Bear"/>
    <n v="-1"/>
  </r>
  <r>
    <d v="2021-10-22T00:00:00"/>
    <n v="12.75"/>
    <n v="11.880000114440918"/>
    <n v="12.399999618530273"/>
    <n v="12.649999618530273"/>
    <n v="1289000"/>
    <n v="12.649999618530273"/>
    <n v="12.409999847412109"/>
    <n v="1.933922434078128E-2"/>
    <n v="1.9154598096862704E-2"/>
    <n v="0.25"/>
    <n v="0.51999950408935547"/>
    <n v="0.10000038146972656"/>
    <n v="1.9960080448236842E-2"/>
    <n v="2.0799980163574219"/>
    <n v="0.40000152587890625"/>
    <n v="0.4471059416385767"/>
    <n v="0.57322222944704448"/>
    <n v="1.8349102369656752E-2"/>
    <n v="-77.421116539086512"/>
    <n v="-42.029203940682159"/>
    <n v="68.181784211136645"/>
    <n v="58.907436004752896"/>
    <n v="-0.30000019073486328"/>
    <n v="1.1755554411146376"/>
    <n v="1289000"/>
    <n v="8703200"/>
    <n v="-19.884401253102794"/>
    <n v="73.420937448577476"/>
    <n v="24.912600920155025"/>
    <n v="-84.318237681817536"/>
    <n v="-83.306568473360045"/>
    <n v="0.60999986103602821"/>
    <n v="71.036319432919626"/>
    <n v="67.662642672880907"/>
    <n v="12.75333309173584"/>
    <n v="13.038750052452087"/>
    <n v="12.404000043869019"/>
    <n v="0.71199049524034741"/>
    <n v="14.259741864204408"/>
    <n v="13.827981034349714"/>
    <n v="10.980019053388324"/>
    <n v="-9.3121063347217925E-2"/>
    <n v="0.13201427790524906"/>
    <n v="0.22960028788205827"/>
    <n v="58.582850809525759"/>
    <n v="72.266537871301281"/>
    <n v="38.998383373766394"/>
    <n v="49.447534284056829"/>
    <n v="-87.540511297798261"/>
    <n v="83.738556970550846"/>
    <n v="12.791846649791168"/>
    <n v="-1.1213204390386767E-2"/>
    <n v="61.325842889952924"/>
    <n v="12.741975487987512"/>
    <n v="12.687836457728155"/>
    <n v="-2.9910545722433325E-3"/>
    <n v="12.732063087542125"/>
    <n v="13.216200946279237"/>
    <n v="-4.4758999590764174E-2"/>
    <n v="-26.526194296655202"/>
    <n v="14.467927542840618"/>
    <n v="-0.14370972167045479"/>
    <n v="9.9124004453869929E-3"/>
    <n v="-9.494392330598235E-2"/>
    <n v="0.10485632375136934"/>
    <n v="-84.914069919737813"/>
    <n v="76.002788861182566"/>
    <n v="659366.66666666663"/>
    <n v="729595"/>
    <n v="821787.5"/>
    <n v="0.95490622314342066"/>
    <n v="0.76673359877740399"/>
    <n v="67.557235931392228"/>
    <n v="71.501261798535197"/>
    <n v="71.501261798535197"/>
    <n v="79.219674358628723"/>
    <n v="-82.934023469158177"/>
    <n v="87.889851849201889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38"/>
    <s v="CDLLADDERBOTTOM_Bull"/>
    <n v="1"/>
  </r>
  <r>
    <d v="2021-10-22T00:00:00"/>
    <n v="23.979999542236328"/>
    <n v="21.040000915527344"/>
    <n v="23.370000839233398"/>
    <n v="22.329999923706055"/>
    <n v="3908700"/>
    <n v="22.329999923706055"/>
    <n v="23.75"/>
    <n v="-5.9789476896587201E-2"/>
    <n v="-6.16514680452405E-2"/>
    <n v="1.0400009155273438"/>
    <n v="1.2899990081787109"/>
    <n v="0.60999870300292969"/>
    <n v="4.5514262501751883E-2"/>
    <n v="1.2403825697832227"/>
    <n v="0.58653669808898512"/>
    <n v="0.62956343909482648"/>
    <n v="0.49572204540957598"/>
    <n v="3.3237730084654943E-2"/>
    <n v="-82.606041437601249"/>
    <n v="61.376428159195385"/>
    <n v="77.70687335379084"/>
    <n v="70.105779761041134"/>
    <n v="0.92000007629394531"/>
    <n v="2.2855557335747614"/>
    <n v="-3908700"/>
    <n v="54492600"/>
    <n v="-81.112860291502599"/>
    <n v="36.051439892615186"/>
    <n v="16.958989486479101"/>
    <n v="54.273672697308875"/>
    <n v="-60.309231009994527"/>
    <n v="1.351428713117327"/>
    <n v="84.994826967133918"/>
    <n v="58.37633729908972"/>
    <n v="23.416666666666668"/>
    <n v="23.517500162124634"/>
    <n v="22.200000095367432"/>
    <n v="1.2965866784022753"/>
    <n v="22.686849999427796"/>
    <n v="24.793173452171985"/>
    <n v="19.60682673856288"/>
    <n v="-0.110307816250862"/>
    <n v="0.12195132980059663"/>
    <n v="0.23361922033015492"/>
    <n v="76.767922328445408"/>
    <n v="72.152065565162729"/>
    <n v="18.679880648149265"/>
    <n v="46.759709194415699"/>
    <n v="-88.008802119550523"/>
    <n v="83.792213320561686"/>
    <n v="23.152568287519593"/>
    <n v="-3.6836917448453722E-2"/>
    <n v="77.58150924214911"/>
    <n v="22.976090394086633"/>
    <n v="22.659544146027461"/>
    <n v="-1.4757914171399262E-2"/>
    <n v="22.616634992899371"/>
    <n v="22.8722720062169"/>
    <n v="-2.4284464145257614E-2"/>
    <n v="7.844032345007526"/>
    <n v="21.283593030413535"/>
    <n v="4.6861034342486937E-2"/>
    <n v="0.35945540118726171"/>
    <n v="0.14105158871672058"/>
    <n v="0.21840381247054114"/>
    <n v="-86.424897938068142"/>
    <n v="84.658008674758563"/>
    <n v="1770988.888888889"/>
    <n v="1467465"/>
    <n v="2532456.5"/>
    <n v="1.207072006223767"/>
    <n v="1.6635728961167726"/>
    <n v="50.34365049505859"/>
    <n v="69.014901353147053"/>
    <n v="69.014901353147053"/>
    <n v="80.038472945594563"/>
    <n v="-85.030997533372528"/>
    <n v="88.022807089863917"/>
    <n v="1"/>
    <n v="0"/>
    <n v="1"/>
    <n v="1"/>
    <n v="0"/>
    <n v="1"/>
    <n v="0"/>
    <n v="0"/>
    <n v="0"/>
    <n v="-1"/>
    <n v="0"/>
    <n v="-1"/>
    <n v="0"/>
    <n v="0"/>
    <n v="0"/>
    <n v="0"/>
    <n v="0"/>
    <n v="0"/>
    <n v="0"/>
    <n v="0"/>
    <n v="0"/>
    <n v="0"/>
    <x v="139"/>
    <s v="NO_PATTERN"/>
    <n v="0"/>
  </r>
  <r>
    <d v="2021-10-22T00:00:00"/>
    <n v="16.559999465942383"/>
    <n v="15.289999961853027"/>
    <n v="16.340000152587891"/>
    <n v="16.280000686645508"/>
    <n v="1120300"/>
    <n v="16.280000686645508"/>
    <n v="16.559999465942383"/>
    <n v="-1.690813939171476E-2"/>
    <n v="-1.7052713955621208E-2"/>
    <n v="5.9999465942382813E-2"/>
    <n v="0.99000072479248047"/>
    <n v="0.21999931335449219"/>
    <n v="3.6786918699412796E-3"/>
    <n v="16.500158947134182"/>
    <n v="3.6666878596178911"/>
    <n v="0.45242330200314312"/>
    <n v="0.49619452436881351"/>
    <n v="-4.0920173630554779E-2"/>
    <n v="-82.299321343863568"/>
    <n v="-59.00473671348594"/>
    <n v="6.4324769654972505"/>
    <n v="-33.230133942736678"/>
    <n v="-0.96999931335449219"/>
    <n v="0.1366670396592882"/>
    <n v="-1120300"/>
    <n v="-209900"/>
    <n v="-85.738595395505058"/>
    <n v="51.60256146454347"/>
    <n v="14.733518709317709"/>
    <n v="36.739809593393936"/>
    <n v="-81.796330731539868"/>
    <n v="0.73357125691005165"/>
    <n v="-46.723534298261178"/>
    <n v="-29.56149663990703"/>
    <n v="16.786666870117188"/>
    <n v="17.246250152587891"/>
    <n v="17.27449998855591"/>
    <n v="0.60969776802833775"/>
    <n v="21.226625947952272"/>
    <n v="18.493895524612586"/>
    <n v="16.055104452499233"/>
    <n v="-0.13598862067512918"/>
    <n v="1.381426441405236E-2"/>
    <n v="0.14117867803577616"/>
    <n v="41.984259162291664"/>
    <n v="-1.7014200480122448"/>
    <n v="19.357848666240059"/>
    <n v="38.064197492627621"/>
    <n v="-88.058083890285403"/>
    <n v="40.083458840998823"/>
    <n v="17.057919037287842"/>
    <n v="-4.7783680456503982E-2"/>
    <n v="12.861860399931812"/>
    <n v="17.117727618158192"/>
    <n v="17.241577869060301"/>
    <n v="-5.9064935003570053E-2"/>
    <n v="17.331747398767334"/>
    <n v="18.010945834278303"/>
    <n v="-0.10632340753232832"/>
    <n v="-42.000010857231842"/>
    <n v="20.881485227623269"/>
    <n v="-0.28264645865478133"/>
    <n v="-0.21401978060914217"/>
    <n v="-0.18339063702362898"/>
    <n v="-3.0629143585513191E-2"/>
    <n v="-83.129817947133986"/>
    <n v="28.061392390094674"/>
    <n v="434477.77777777775"/>
    <n v="499800"/>
    <n v="531020.5"/>
    <n v="1.5784978134669974"/>
    <n v="1.2414965986394559"/>
    <n v="34.859190283264859"/>
    <n v="43.08591261643496"/>
    <n v="43.08591261643496"/>
    <n v="53.456010508125871"/>
    <n v="-28.336194951777617"/>
    <n v="85.051630688211972"/>
    <n v="1"/>
    <n v="0"/>
    <n v="1"/>
    <n v="0"/>
    <n v="0"/>
    <n v="0"/>
    <n v="-1"/>
    <n v="0"/>
    <n v="-1"/>
    <n v="-1"/>
    <n v="0"/>
    <n v="-1"/>
    <n v="0"/>
    <n v="0"/>
    <n v="0"/>
    <n v="0"/>
    <n v="0"/>
    <n v="0"/>
    <n v="0"/>
    <n v="0"/>
    <n v="0"/>
    <n v="0"/>
    <x v="140"/>
    <s v="CDLHIKKAKE_Bull"/>
    <n v="1"/>
  </r>
  <r>
    <d v="2021-10-22T00:00:00"/>
    <n v="6.179999828338623"/>
    <n v="5.8400001525878906"/>
    <n v="6.179999828338623"/>
    <n v="6"/>
    <n v="121000"/>
    <n v="6"/>
    <n v="6.1700000762939453"/>
    <n v="-2.7552686254755598E-2"/>
    <n v="-2.7939381054548528E-2"/>
    <n v="0.17999982833862305"/>
    <n v="0.15999984741210938"/>
    <n v="0"/>
    <n v="2.9556622475449639E-2"/>
    <n v="0.88888888888888884"/>
    <n v="0"/>
    <n v="0.33405871922160035"/>
    <n v="0.23753436654817126"/>
    <n v="-5.0376198256848179E-2"/>
    <n v="-66.089703963870249"/>
    <n v="-55.824160916221217"/>
    <n v="-36.933321533288321"/>
    <n v="-31.925587230026725"/>
    <n v="-0.32000017166137695"/>
    <n v="-0.14222224553426108"/>
    <n v="-121000"/>
    <n v="-7055900"/>
    <n v="-74.049957214554965"/>
    <n v="-61.723532273544954"/>
    <n v="29.069944660198665"/>
    <n v="-28.503084809892151"/>
    <n v="-75.117110137693587"/>
    <n v="0.19714273725237166"/>
    <n v="-49.700725003993391"/>
    <n v="-68.065017203047219"/>
    <n v="6.1233332951863604"/>
    <n v="6.2625000476837158"/>
    <n v="6.3720000505447389"/>
    <n v="0.14314513507962698"/>
    <n v="9.1400000214576718"/>
    <n v="6.6582903207039932"/>
    <n v="6.0857097803854847"/>
    <n v="-0.10971505345066553"/>
    <n v="-1.4284963397580785E-2"/>
    <n v="8.9858841145106214E-2"/>
    <n v="82.242114259082925"/>
    <n v="-83.160154015490704"/>
    <n v="3.6145203827472017"/>
    <n v="24.91431460645407"/>
    <n v="-85.402819067309593"/>
    <n v="-69.072411671213516"/>
    <n v="6.2389158162794027"/>
    <n v="-3.9819302713233785E-2"/>
    <n v="-34.49233710469148"/>
    <n v="6.2808715426632071"/>
    <n v="6.4051705899470637"/>
    <n v="-6.7528431657843946E-2"/>
    <n v="6.4834981874961688"/>
    <n v="6.9120051636265121"/>
    <n v="-0.15200086060441867"/>
    <n v="-47.25313340517706"/>
    <n v="8.933921485926156"/>
    <n v="-0.48898691432102598"/>
    <n v="-0.20262664483296167"/>
    <n v="-0.20584229426442918"/>
    <n v="3.2156494314675155E-3"/>
    <n v="-72.384610353510311"/>
    <n v="-20.624824073239068"/>
    <n v="132711.11111111112"/>
    <n v="107505"/>
    <n v="221267"/>
    <n v="-8.8245144005358434E-2"/>
    <n v="0.1255290451606903"/>
    <n v="20.512807972720015"/>
    <n v="17.595181885247186"/>
    <n v="17.595181885247186"/>
    <n v="14.643294648959866"/>
    <n v="-78.957717132584165"/>
    <n v="13.3534701983964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41"/>
    <s v="CDLHIKKAKE_Bear"/>
    <n v="-1"/>
  </r>
  <r>
    <d v="2021-10-22T00:00:00"/>
    <n v="15.100000381469727"/>
    <n v="14"/>
    <n v="15.100000381469727"/>
    <n v="14.449999809265137"/>
    <n v="1800000"/>
    <n v="14.449999809265137"/>
    <n v="15.090000152587891"/>
    <n v="-4.2412215828440236E-2"/>
    <n v="-4.3337881532815814E-2"/>
    <n v="0.65000057220458984"/>
    <n v="0.44999980926513672"/>
    <n v="0"/>
    <n v="4.3993270254420618E-2"/>
    <n v="0.69230678942156032"/>
    <n v="0"/>
    <n v="0.56794339129689386"/>
    <n v="0.5490428118790639"/>
    <n v="0.14177086919604526"/>
    <n v="85.92587905324298"/>
    <n v="83.855535787697022"/>
    <n v="81.771347944201707"/>
    <n v="78.604316802694683"/>
    <n v="1.6700000762939453"/>
    <n v="1.5688889821370442"/>
    <n v="-1800000"/>
    <n v="37230000"/>
    <n v="86.82152378567163"/>
    <n v="80.038333463372766"/>
    <n v="33.454208842087901"/>
    <n v="87.609886909478448"/>
    <n v="87.157018599062695"/>
    <n v="0.80428573063441688"/>
    <n v="84.974830124437233"/>
    <n v="77.418446342207531"/>
    <n v="14.763333320617676"/>
    <n v="13.680000066757202"/>
    <n v="12.678499984741212"/>
    <n v="1.0807564356293544"/>
    <n v="10.825649995803833"/>
    <n v="14.84001285599992"/>
    <n v="10.516987113482504"/>
    <n v="-2.6990522621648201E-2"/>
    <n v="0.27218081298941199"/>
    <n v="0.34097296586506687"/>
    <n v="86.961877186095535"/>
    <n v="80.197296561582547"/>
    <n v="59.997875707958379"/>
    <n v="67.830075542558234"/>
    <n v="86.603604888088142"/>
    <n v="85.649803496429854"/>
    <n v="13.758761246819686"/>
    <n v="4.7836579347373974E-2"/>
    <n v="80.933152238403807"/>
    <n v="13.503827000795201"/>
    <n v="13.046169488410106"/>
    <n v="9.7150888538760694E-2"/>
    <n v="12.893052180599895"/>
    <n v="12.43054250381099"/>
    <n v="0.13975483267199068"/>
    <n v="60.071007000053541"/>
    <n v="11.48179033107936"/>
    <n v="0.20541242334706489"/>
    <n v="0.61077482019530649"/>
    <n v="0.33834266588051537"/>
    <n v="0.27243215431479112"/>
    <n v="86.303476871623289"/>
    <n v="82.095555286799126"/>
    <n v="1505677.7777777778"/>
    <n v="1033125"/>
    <n v="1058534.5"/>
    <n v="0.19547490609618401"/>
    <n v="0.74228675136116151"/>
    <n v="79.145728161574496"/>
    <n v="87.99408892781598"/>
    <n v="87.99408892781598"/>
    <n v="88.157377696542213"/>
    <n v="87.295507147824907"/>
    <n v="87.2444733703517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42"/>
    <s v="CDLHIKKAKE_Bear"/>
    <n v="-1"/>
  </r>
  <r>
    <d v="2021-10-22T00:00:00"/>
    <n v="8"/>
    <n v="7.309999942779541"/>
    <n v="7.5999999046325684"/>
    <n v="7.820000171661377"/>
    <n v="316900"/>
    <n v="7.820000171661377"/>
    <n v="7.8000001907348633"/>
    <n v="2.5641000560834293E-3"/>
    <n v="2.560818360068893E-3"/>
    <n v="0.22000026702880859"/>
    <n v="0.28999996185302734"/>
    <n v="0.17999982833862305"/>
    <n v="2.8534405439728589E-2"/>
    <n v="1.3181800448226384"/>
    <n v="0.81818004482263851"/>
    <n v="0.43054442432325041"/>
    <n v="0.57911376210170773"/>
    <n v="-5.9570961273853619E-2"/>
    <n v="-82.503207413247267"/>
    <n v="-78.412166125377539"/>
    <n v="-28.803643409049521"/>
    <n v="-17.212664355807011"/>
    <n v="-0.95999956130981445"/>
    <n v="9.1111183166503906E-2"/>
    <n v="316900"/>
    <n v="9840000"/>
    <n v="-64.768719694176767"/>
    <n v="-23.62970864370978"/>
    <n v="16.308607580989726"/>
    <n v="-71.976649459007234"/>
    <n v="44.626369925508683"/>
    <n v="0.45499995776585173"/>
    <n v="53.523025265843444"/>
    <n v="34.0570813496265"/>
    <n v="7.90333350499471"/>
    <n v="8.2187500596046448"/>
    <n v="8.2315000534057621"/>
    <n v="0.30243347832988809"/>
    <n v="8.5225499796867368"/>
    <n v="8.8363670100655387"/>
    <n v="7.6266330967459854"/>
    <n v="-0.12997018108609995"/>
    <n v="2.4727246888833536E-2"/>
    <n v="0.14696396834973341"/>
    <n v="34.0971527692652"/>
    <n v="35.506006803777701"/>
    <n v="19.785775513888382"/>
    <n v="40.914108632456376"/>
    <n v="-86.53698580755109"/>
    <n v="-68.963739553422798"/>
    <n v="8.1215224156327945"/>
    <n v="-3.8557830863494534E-2"/>
    <n v="-49.252446340789469"/>
    <n v="8.1555189016001179"/>
    <n v="8.1868647080880876"/>
    <n v="-4.6913622554150082E-2"/>
    <n v="8.1986350510293597"/>
    <n v="8.3090305582654249"/>
    <n v="-6.2535853691695301E-2"/>
    <n v="-3.8039299767569377"/>
    <n v="8.7311884372344402"/>
    <n v="-0.11652023600652674"/>
    <n v="-4.3116149429241801E-2"/>
    <n v="1.1252847473477231E-2"/>
    <n v="-5.4368996902719034E-2"/>
    <n v="-85.35532199715729"/>
    <n v="-58.090813852685933"/>
    <n v="149311.11111111112"/>
    <n v="160905"/>
    <n v="216043"/>
    <n v="1.1224140497097781"/>
    <n v="0.96948509990366993"/>
    <n v="28.491625915746891"/>
    <n v="27.294053519862601"/>
    <n v="27.294053519862601"/>
    <n v="31.156845231992008"/>
    <n v="-88.050660379175781"/>
    <n v="45.6190196177800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43"/>
    <s v="CDLCLOSINGMARUBOZU_Bull"/>
    <n v="1"/>
  </r>
  <r>
    <d v="2021-10-22T00:00:00"/>
    <n v="38.520000457763672"/>
    <n v="35.580001831054688"/>
    <n v="38.5"/>
    <n v="38.209999084472656"/>
    <n v="54900"/>
    <n v="38.209999084472656"/>
    <n v="39.669998168945313"/>
    <n v="-3.6803608567231527E-2"/>
    <n v="-3.7497950870677615E-2"/>
    <n v="0.29000091552734375"/>
    <n v="2.6299972534179688"/>
    <n v="2.0000457763671875E-2"/>
    <n v="7.5609677744356701E-3"/>
    <n v="9.0689274157480728"/>
    <n v="6.8966878008997395E-2"/>
    <n v="0.60112293310359355"/>
    <n v="0.65363489172648503"/>
    <n v="-4.302841311805243E-2"/>
    <n v="-77.015519879882092"/>
    <n v="-74.797108664364004"/>
    <n v="-50.791920105076279"/>
    <n v="-64.969641302916003"/>
    <n v="-2.0200004577636719"/>
    <n v="-0.722222646077474"/>
    <n v="-54900"/>
    <n v="1112861"/>
    <n v="-58.194380066364928"/>
    <n v="-37.68746308500689"/>
    <n v="13.081734194208863"/>
    <n v="80.827174271164282"/>
    <n v="-30.811529560559617"/>
    <n v="2.3292854854038785"/>
    <n v="65.041731848258991"/>
    <n v="-83.899670728809625"/>
    <n v="38.60333251953125"/>
    <n v="39.924999237060547"/>
    <n v="40.899499511718751"/>
    <n v="2.0210304607896692"/>
    <n v="46.251758975982668"/>
    <n v="44.941560433298093"/>
    <n v="36.857438590139409"/>
    <n v="-0.1761727691734212"/>
    <n v="3.5398077119632408E-2"/>
    <n v="0.1976582095055314"/>
    <n v="48.838816645380803"/>
    <n v="-14.267978979868547"/>
    <n v="33.748237731760227"/>
    <n v="39.965894710605973"/>
    <n v="-78.157393971922673"/>
    <n v="-36.382250725344193"/>
    <n v="39.654540008819993"/>
    <n v="-3.780531167126755E-2"/>
    <n v="-60.189498033390528"/>
    <n v="39.978132414996388"/>
    <n v="40.77740000473765"/>
    <n v="-6.7191860292619199E-2"/>
    <n v="41.160079275015512"/>
    <n v="42.716270488772928"/>
    <n v="-0.11793434996787211"/>
    <n v="-61.138312098528246"/>
    <n v="43.381875638098272"/>
    <n v="-0.13535400883396786"/>
    <n v="-1.1819468600191243"/>
    <n v="-1.0275228433269983"/>
    <n v="-0.15442401669212602"/>
    <n v="-83.66496767295277"/>
    <n v="68.026354314845833"/>
    <n v="39122.222222222219"/>
    <n v="60060"/>
    <n v="98340.524999999994"/>
    <n v="0.40329451860266974"/>
    <n v="-8.5914085914085891E-2"/>
    <n v="35.540514417240374"/>
    <n v="32.161440721746452"/>
    <n v="32.161440721746452"/>
    <n v="22.512572076750953"/>
    <n v="-85.042649193211716"/>
    <n v="53.8934972990929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44"/>
    <s v="CDLSHORTLINE_Bear"/>
    <n v="-1"/>
  </r>
  <r>
    <d v="2021-10-22T00:00:00"/>
    <n v="14.279999732971191"/>
    <n v="13.550000190734863"/>
    <n v="14"/>
    <n v="13.880000114440918"/>
    <n v="229100"/>
    <n v="13.880000114440918"/>
    <n v="14.199999809265137"/>
    <n v="-2.2535190079046807E-2"/>
    <n v="-2.2792987851500978E-2"/>
    <n v="0.11999988555908203"/>
    <n v="0.32999992370605469"/>
    <n v="0.27999973297119141"/>
    <n v="8.6083131324612913E-3"/>
    <n v="2.7500019868233871"/>
    <n v="2.3333333333333335"/>
    <n v="0.30866008233081349"/>
    <n v="0.27836378812577128"/>
    <n v="1.1594321563201365E-2"/>
    <n v="-80.142346573988576"/>
    <n v="-52.467404546609195"/>
    <n v="53.306937152206558"/>
    <n v="-17.1747296245256"/>
    <n v="-0.31999969482421875"/>
    <n v="0.29333326551649308"/>
    <n v="-229100"/>
    <n v="16763600"/>
    <n v="-78.300620051103138"/>
    <n v="-32.005852692219349"/>
    <n v="15.723932626260828"/>
    <n v="-79.904932916530626"/>
    <n v="-80.722184654304442"/>
    <n v="0.5221426827566964"/>
    <n v="-84.816483525594052"/>
    <n v="11.052700414948653"/>
    <n v="14.143333435058594"/>
    <n v="14.387500047683716"/>
    <n v="14.277000045776367"/>
    <n v="0.36279760697235097"/>
    <n v="13.041264200210572"/>
    <n v="15.002595259721069"/>
    <n v="13.551404831831665"/>
    <n v="-8.0878612105499167E-2"/>
    <n v="2.3674011520171304E-2"/>
    <n v="0.10164533327985223"/>
    <n v="-61.982119967651826"/>
    <n v="-28.859465799408802"/>
    <n v="15.725488898219595"/>
    <n v="37.285098807355631"/>
    <n v="-87.551096641627979"/>
    <n v="82.86896226377084"/>
    <n v="14.25319794573249"/>
    <n v="-2.6887451600471696E-2"/>
    <n v="38.834365394973261"/>
    <n v="14.279748456733959"/>
    <n v="14.387767970923944"/>
    <n v="-3.6582698292252781E-2"/>
    <n v="14.455463438543392"/>
    <n v="14.615218734569542"/>
    <n v="-5.2969640782905579E-2"/>
    <n v="-33.736560204881663"/>
    <n v="12.821996670312645"/>
    <n v="7.622503136923707E-2"/>
    <n v="-0.17571498180943301"/>
    <n v="-0.20009738046161904"/>
    <n v="2.4382398652186027E-2"/>
    <n v="-85.955266801633343"/>
    <n v="84.979196069085333"/>
    <n v="158211.11111111112"/>
    <n v="175860"/>
    <n v="216914.5"/>
    <n v="0.4480651731160894"/>
    <n v="0.30274081655862628"/>
    <n v="34.682093033383552"/>
    <n v="49.903667896520311"/>
    <n v="49.903667896520311"/>
    <n v="58.766864549436782"/>
    <n v="-85.71301823127159"/>
    <n v="87.193917640764383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45"/>
    <s v="CDL3INSIDE_Bull"/>
    <n v="1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46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E7C41A-9D6A-4247-980E-5E6FF10BF0A6}" name="Tabela dinâmica1" cacheId="6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6" indent="0" outline="1" outlineData="1" multipleFieldFilters="0" rowHeaderCaption="STOCK">
  <location ref="B4:AI151" firstHeaderRow="0" firstDataRow="1" firstDataCol="1"/>
  <pivotFields count="104"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axis="axisRow" multipleItemSelectionAllowed="1" showAll="0" sortType="descending" defaultSubtotal="0">
      <items count="160">
        <item x="0"/>
        <item x="11"/>
        <item x="76"/>
        <item x="81"/>
        <item x="78"/>
        <item x="94"/>
        <item x="14"/>
        <item x="8"/>
        <item x="9"/>
        <item x="4"/>
        <item x="47"/>
        <item x="61"/>
        <item m="1" x="155"/>
        <item x="18"/>
        <item m="1" x="157"/>
        <item x="62"/>
        <item x="31"/>
        <item x="28"/>
        <item x="68"/>
        <item x="37"/>
        <item x="96"/>
        <item x="92"/>
        <item m="1" x="151"/>
        <item x="54"/>
        <item x="72"/>
        <item x="15"/>
        <item x="103"/>
        <item x="56"/>
        <item m="1" x="156"/>
        <item x="64"/>
        <item x="45"/>
        <item x="43"/>
        <item x="38"/>
        <item x="44"/>
        <item x="29"/>
        <item x="100"/>
        <item x="69"/>
        <item x="65"/>
        <item x="60"/>
        <item x="57"/>
        <item x="83"/>
        <item x="67"/>
        <item x="32"/>
        <item x="84"/>
        <item x="55"/>
        <item x="74"/>
        <item x="77"/>
        <item x="24"/>
        <item x="26"/>
        <item x="52"/>
        <item x="25"/>
        <item x="101"/>
        <item x="49"/>
        <item m="1" x="149"/>
        <item x="39"/>
        <item x="66"/>
        <item x="10"/>
        <item x="20"/>
        <item x="5"/>
        <item x="17"/>
        <item x="53"/>
        <item x="40"/>
        <item x="13"/>
        <item x="75"/>
        <item x="80"/>
        <item m="1" x="158"/>
        <item x="22"/>
        <item x="86"/>
        <item x="73"/>
        <item x="6"/>
        <item x="79"/>
        <item x="34"/>
        <item x="63"/>
        <item x="46"/>
        <item x="95"/>
        <item x="12"/>
        <item x="42"/>
        <item x="16"/>
        <item x="3"/>
        <item x="91"/>
        <item x="102"/>
        <item x="41"/>
        <item x="82"/>
        <item x="51"/>
        <item x="33"/>
        <item x="30"/>
        <item x="89"/>
        <item x="19"/>
        <item m="1" x="154"/>
        <item x="71"/>
        <item x="27"/>
        <item x="97"/>
        <item m="1" x="150"/>
        <item x="93"/>
        <item x="104"/>
        <item x="36"/>
        <item x="23"/>
        <item m="1" x="152"/>
        <item x="98"/>
        <item x="85"/>
        <item x="50"/>
        <item x="99"/>
        <item x="90"/>
        <item x="48"/>
        <item x="35"/>
        <item x="1"/>
        <item x="87"/>
        <item m="1" x="148"/>
        <item x="21"/>
        <item x="59"/>
        <item x="146"/>
        <item x="7"/>
        <item x="88"/>
        <item x="105"/>
        <item x="106"/>
        <item x="107"/>
        <item x="108"/>
        <item x="109"/>
        <item x="110"/>
        <item x="111"/>
        <item x="112"/>
        <item x="113"/>
        <item m="1" x="153"/>
        <item x="114"/>
        <item x="115"/>
        <item x="116"/>
        <item m="1" x="159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m="1" x="147"/>
        <item x="143"/>
        <item x="144"/>
        <item x="145"/>
        <item x="58"/>
        <item x="70"/>
        <item x="2"/>
      </items>
      <autoSortScope>
        <pivotArea dataOnly="0" outline="0" fieldPosition="0">
          <references count="1">
            <reference field="4294967294" count="1" selected="0">
              <x v="10"/>
            </reference>
          </references>
        </pivotArea>
      </autoSortScope>
    </pivotField>
    <pivotField showAll="0"/>
    <pivotField dataField="1" showAll="0"/>
  </pivotFields>
  <rowFields count="1">
    <field x="101"/>
  </rowFields>
  <rowItems count="147">
    <i>
      <x v="61"/>
    </i>
    <i>
      <x v="96"/>
    </i>
    <i>
      <x v="10"/>
    </i>
    <i>
      <x v="82"/>
    </i>
    <i>
      <x v="24"/>
    </i>
    <i>
      <x v="152"/>
    </i>
    <i>
      <x v="66"/>
    </i>
    <i>
      <x v="83"/>
    </i>
    <i>
      <x v="95"/>
    </i>
    <i>
      <x v="40"/>
    </i>
    <i>
      <x v="49"/>
    </i>
    <i>
      <x v="148"/>
    </i>
    <i>
      <x v="15"/>
    </i>
    <i>
      <x v="7"/>
    </i>
    <i>
      <x v="93"/>
    </i>
    <i>
      <x v="81"/>
    </i>
    <i>
      <x v="119"/>
    </i>
    <i>
      <x v="25"/>
    </i>
    <i>
      <x v="155"/>
    </i>
    <i>
      <x v="145"/>
    </i>
    <i>
      <x v="131"/>
    </i>
    <i>
      <x v="105"/>
    </i>
    <i>
      <x v="139"/>
    </i>
    <i>
      <x v="84"/>
    </i>
    <i>
      <x v="9"/>
    </i>
    <i>
      <x v="99"/>
    </i>
    <i>
      <x v="56"/>
    </i>
    <i>
      <x v="157"/>
    </i>
    <i>
      <x v="108"/>
    </i>
    <i>
      <x v="37"/>
    </i>
    <i>
      <x v="62"/>
    </i>
    <i>
      <x v="115"/>
    </i>
    <i>
      <x v="59"/>
    </i>
    <i>
      <x v="1"/>
    </i>
    <i>
      <x v="144"/>
    </i>
    <i>
      <x v="140"/>
    </i>
    <i>
      <x v="47"/>
    </i>
    <i>
      <x v="127"/>
    </i>
    <i>
      <x v="121"/>
    </i>
    <i>
      <x v="39"/>
    </i>
    <i>
      <x v="130"/>
    </i>
    <i>
      <x v="136"/>
    </i>
    <i>
      <x v="75"/>
    </i>
    <i>
      <x v="158"/>
    </i>
    <i>
      <x v="58"/>
    </i>
    <i>
      <x v="13"/>
    </i>
    <i>
      <x v="18"/>
    </i>
    <i>
      <x v="85"/>
    </i>
    <i>
      <x v="116"/>
    </i>
    <i>
      <x v="112"/>
    </i>
    <i>
      <x v="48"/>
    </i>
    <i>
      <x v="128"/>
    </i>
    <i>
      <x v="154"/>
    </i>
    <i>
      <x v="80"/>
    </i>
    <i>
      <x v="150"/>
    </i>
    <i>
      <x v="76"/>
    </i>
    <i>
      <x v="143"/>
    </i>
    <i>
      <x v="57"/>
    </i>
    <i>
      <x v="104"/>
    </i>
    <i>
      <x v="8"/>
    </i>
    <i>
      <x v="26"/>
    </i>
    <i>
      <x v="149"/>
    </i>
    <i>
      <x v="91"/>
    </i>
    <i>
      <x v="120"/>
    </i>
    <i>
      <x v="77"/>
    </i>
    <i>
      <x v="134"/>
    </i>
    <i>
      <x v="21"/>
    </i>
    <i>
      <x v="78"/>
    </i>
    <i>
      <x v="156"/>
    </i>
    <i>
      <x v="117"/>
    </i>
    <i>
      <x v="29"/>
    </i>
    <i>
      <x v="86"/>
    </i>
    <i>
      <x v="103"/>
    </i>
    <i>
      <x v="23"/>
    </i>
    <i>
      <x v="54"/>
    </i>
    <i>
      <x v="159"/>
    </i>
    <i>
      <x v="98"/>
    </i>
    <i>
      <x v="5"/>
    </i>
    <i>
      <x v="135"/>
    </i>
    <i>
      <x v="102"/>
    </i>
    <i>
      <x v="113"/>
    </i>
    <i>
      <x v="89"/>
    </i>
    <i>
      <x v="67"/>
    </i>
    <i>
      <x v="71"/>
    </i>
    <i>
      <x v="30"/>
    </i>
    <i>
      <x v="60"/>
    </i>
    <i>
      <x v="101"/>
    </i>
    <i>
      <x v="32"/>
    </i>
    <i>
      <x v="100"/>
    </i>
    <i>
      <x v="124"/>
    </i>
    <i>
      <x v="138"/>
    </i>
    <i>
      <x v="79"/>
    </i>
    <i>
      <x v="20"/>
    </i>
    <i>
      <x v="141"/>
    </i>
    <i>
      <x v="4"/>
    </i>
    <i>
      <x v="70"/>
    </i>
    <i>
      <x v="74"/>
    </i>
    <i>
      <x v="38"/>
    </i>
    <i>
      <x v="106"/>
    </i>
    <i>
      <x v="146"/>
    </i>
    <i>
      <x v="43"/>
    </i>
    <i>
      <x v="52"/>
    </i>
    <i>
      <x v="69"/>
    </i>
    <i>
      <x v="147"/>
    </i>
    <i>
      <x v="27"/>
    </i>
    <i>
      <x v="55"/>
    </i>
    <i>
      <x v="129"/>
    </i>
    <i>
      <x v="111"/>
    </i>
    <i>
      <x v="137"/>
    </i>
    <i>
      <x/>
    </i>
    <i>
      <x v="51"/>
    </i>
    <i>
      <x v="46"/>
    </i>
    <i>
      <x v="2"/>
    </i>
    <i>
      <x v="3"/>
    </i>
    <i>
      <x v="114"/>
    </i>
    <i>
      <x v="142"/>
    </i>
    <i>
      <x v="73"/>
    </i>
    <i>
      <x v="34"/>
    </i>
    <i>
      <x v="68"/>
    </i>
    <i>
      <x v="118"/>
    </i>
    <i>
      <x v="72"/>
    </i>
    <i>
      <x v="19"/>
    </i>
    <i>
      <x v="35"/>
    </i>
    <i>
      <x v="109"/>
    </i>
    <i>
      <x v="63"/>
    </i>
    <i>
      <x v="36"/>
    </i>
    <i>
      <x v="44"/>
    </i>
    <i>
      <x v="123"/>
    </i>
    <i>
      <x v="33"/>
    </i>
    <i>
      <x v="42"/>
    </i>
    <i>
      <x v="87"/>
    </i>
    <i>
      <x v="90"/>
    </i>
    <i>
      <x v="16"/>
    </i>
    <i>
      <x v="45"/>
    </i>
    <i>
      <x v="50"/>
    </i>
    <i>
      <x v="133"/>
    </i>
    <i>
      <x v="64"/>
    </i>
    <i>
      <x v="31"/>
    </i>
    <i>
      <x v="6"/>
    </i>
    <i>
      <x v="41"/>
    </i>
    <i>
      <x v="151"/>
    </i>
    <i>
      <x v="132"/>
    </i>
    <i>
      <x v="94"/>
    </i>
    <i>
      <x v="125"/>
    </i>
    <i>
      <x v="11"/>
    </i>
    <i>
      <x v="17"/>
    </i>
    <i>
      <x v="110"/>
    </i>
  </rowItems>
  <colFields count="1">
    <field x="-2"/>
  </colFields>
  <colItems count="3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</colItems>
  <dataFields count="33">
    <dataField name="ADJ. CLOSE" fld="6" baseField="0" baseItem="0" numFmtId="164"/>
    <dataField name="Pattern Signal." fld="103" baseField="0" baseItem="0"/>
    <dataField name="%" fld="8" baseField="0" baseItem="0" numFmtId="165"/>
    <dataField name="SHADOW LOWER" fld="14" baseField="0" baseItem="0" numFmtId="9"/>
    <dataField name="SHADOW UPPER" fld="15" baseField="0" baseItem="0" numFmtId="9"/>
    <dataField name="PRICE T5" fld="19" baseField="0" baseItem="0" numFmtId="1"/>
    <dataField name="PRICE T14" fld="21" baseField="0" baseItem="0" numFmtId="1"/>
    <dataField name="EMA9%." fld="52" baseField="0" baseItem="0" numFmtId="165"/>
    <dataField name="EMA50%." fld="59" baseField="0" baseItem="0" numFmtId="165"/>
    <dataField name="EMA200%." fld="62" baseField="0" baseItem="0" numFmtId="165"/>
    <dataField name="IFR2" fld="47" subtotal="average" baseField="85" baseItem="1" numFmtId="1"/>
    <dataField name="IFR9" fld="48" baseField="85" baseItem="0" numFmtId="1"/>
    <dataField name="IFR9 T5" fld="49" baseField="0" baseItem="0" numFmtId="1"/>
    <dataField name="STO" fld="76" baseField="0" baseItem="0" numFmtId="1"/>
    <dataField name="Volume 9P" fld="71" baseField="0" baseItem="0" numFmtId="9"/>
    <dataField name="Volume 20P" fld="72" baseField="0" baseItem="0" numFmtId="9"/>
    <dataField name="OBV T5" fld="27" baseField="0" baseItem="0" numFmtId="1"/>
    <dataField name="BOL SPREAD" fld="44" baseField="0" baseItem="0" numFmtId="165"/>
    <dataField name="BOL SPREAD T5" fld="45" baseField="0" baseItem="0"/>
    <dataField name="BOL SUP" fld="42" baseField="87" baseItem="43" numFmtId="165"/>
    <dataField name="BOL INF" fld="43" baseField="0" baseItem="0" numFmtId="165"/>
    <dataField name="VOL 21P" fld="17" baseField="0" baseItem="0" numFmtId="9"/>
    <dataField name="VOL 252P" fld="16" baseField="0" baseItem="0" numFmtId="9"/>
    <dataField name="ADX 14P" fld="29" baseField="0" baseItem="0" numFmtId="1"/>
    <dataField name="ADX T5" fld="30" baseField="0" baseItem="0" numFmtId="1"/>
    <dataField name="ATR 14P" fld="32" baseField="0" baseItem="0" numFmtId="2"/>
    <dataField name="ATR T5" fld="33" baseField="0" baseItem="0" numFmtId="1"/>
    <dataField name="#INSIDE" fld="100" baseField="0" baseItem="0" numFmtId="1"/>
    <dataField name="#DIDI" fld="97" baseField="0" baseItem="0" numFmtId="1"/>
    <dataField name="#DIVERGENCIA" fld="93" baseField="0" baseItem="0" numFmtId="1"/>
    <dataField name="#MACD CHANGE" fld="87" baseField="0" baseItem="0" numFmtId="1"/>
    <dataField name="#EMA9 CHANGE" fld="90" baseField="0" baseItem="0" numFmtId="1"/>
    <dataField name="#IFR 2" fld="96" baseField="0" baseItem="0" numFmtId="1"/>
  </dataFields>
  <formats count="103">
    <format dxfId="722">
      <pivotArea type="all" dataOnly="0" outline="0" fieldPosition="0"/>
    </format>
    <format dxfId="721">
      <pivotArea outline="0" collapsedLevelsAreSubtotals="1" fieldPosition="0"/>
    </format>
    <format dxfId="720">
      <pivotArea field="101" type="button" dataOnly="0" labelOnly="1" outline="0" axis="axisRow" fieldPosition="0"/>
    </format>
    <format dxfId="719">
      <pivotArea dataOnly="0" labelOnly="1" fieldPosition="0">
        <references count="1">
          <reference field="10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718">
      <pivotArea dataOnly="0" labelOnly="1" fieldPosition="0">
        <references count="1">
          <reference field="10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717">
      <pivotArea dataOnly="0" labelOnly="1" fieldPosition="0">
        <references count="1">
          <reference field="101" count="11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</reference>
        </references>
      </pivotArea>
    </format>
    <format dxfId="716">
      <pivotArea dataOnly="0" labelOnly="1" grandRow="1" outline="0" fieldPosition="0"/>
    </format>
    <format dxfId="715">
      <pivotArea dataOnly="0" labelOnly="1" outline="0" axis="axisValues" fieldPosition="0"/>
    </format>
    <format dxfId="714">
      <pivotArea outline="0" collapsedLevelsAreSubtotals="1" fieldPosition="0"/>
    </format>
    <format dxfId="713">
      <pivotArea dataOnly="0" labelOnly="1" outline="0" axis="axisValues" fieldPosition="0"/>
    </format>
    <format dxfId="712">
      <pivotArea type="all" dataOnly="0" outline="0" fieldPosition="0"/>
    </format>
    <format dxfId="711">
      <pivotArea outline="0" collapsedLevelsAreSubtotals="1" fieldPosition="0"/>
    </format>
    <format dxfId="710">
      <pivotArea dataOnly="0" labelOnly="1" fieldPosition="0">
        <references count="1">
          <reference field="10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709">
      <pivotArea dataOnly="0" labelOnly="1" fieldPosition="0">
        <references count="1">
          <reference field="10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708">
      <pivotArea dataOnly="0" labelOnly="1" fieldPosition="0">
        <references count="1">
          <reference field="101" count="11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</reference>
        </references>
      </pivotArea>
    </format>
    <format dxfId="707">
      <pivotArea dataOnly="0" labelOnly="1" outline="0" axis="axisValues" fieldPosition="0"/>
    </format>
    <format dxfId="70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05">
      <pivotArea outline="0" collapsedLevelsAreSubtotals="1" fieldPosition="0"/>
    </format>
    <format dxfId="704">
      <pivotArea outline="0" collapsedLevelsAreSubtotals="1" fieldPosition="0">
        <references count="1">
          <reference field="4294967294" count="2" selected="0">
            <x v="19"/>
            <x v="20"/>
          </reference>
        </references>
      </pivotArea>
    </format>
    <format dxfId="70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02">
      <pivotArea outline="0" collapsedLevelsAreSubtotals="1" fieldPosition="0">
        <references count="1">
          <reference field="4294967294" count="2" selected="0">
            <x v="8"/>
            <x v="9"/>
          </reference>
        </references>
      </pivotArea>
    </format>
    <format dxfId="701">
      <pivotArea field="101" type="button" dataOnly="0" labelOnly="1" outline="0" axis="axisRow" fieldPosition="0"/>
    </format>
    <format dxfId="700">
      <pivotArea dataOnly="0" labelOnly="1" outline="0" fieldPosition="0">
        <references count="1">
          <reference field="4294967294" count="20">
            <x v="0"/>
            <x v="2"/>
            <x v="5"/>
            <x v="6"/>
            <x v="7"/>
            <x v="8"/>
            <x v="9"/>
            <x v="10"/>
            <x v="11"/>
            <x v="12"/>
            <x v="13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699">
      <pivotArea field="101" type="button" dataOnly="0" labelOnly="1" outline="0" axis="axisRow" fieldPosition="0"/>
    </format>
    <format dxfId="698">
      <pivotArea dataOnly="0" labelOnly="1" outline="0" fieldPosition="0">
        <references count="1">
          <reference field="4294967294" count="20">
            <x v="0"/>
            <x v="2"/>
            <x v="5"/>
            <x v="6"/>
            <x v="7"/>
            <x v="8"/>
            <x v="9"/>
            <x v="10"/>
            <x v="11"/>
            <x v="12"/>
            <x v="13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697">
      <pivotArea field="101" type="button" dataOnly="0" labelOnly="1" outline="0" axis="axisRow" fieldPosition="0"/>
    </format>
    <format dxfId="696">
      <pivotArea dataOnly="0" labelOnly="1" outline="0" fieldPosition="0">
        <references count="1">
          <reference field="4294967294" count="20">
            <x v="0"/>
            <x v="2"/>
            <x v="5"/>
            <x v="6"/>
            <x v="7"/>
            <x v="8"/>
            <x v="9"/>
            <x v="10"/>
            <x v="11"/>
            <x v="12"/>
            <x v="13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695">
      <pivotArea field="101" type="button" dataOnly="0" labelOnly="1" outline="0" axis="axisRow" fieldPosition="0"/>
    </format>
    <format dxfId="694">
      <pivotArea dataOnly="0" labelOnly="1" outline="0" fieldPosition="0">
        <references count="1">
          <reference field="4294967294" count="20">
            <x v="0"/>
            <x v="2"/>
            <x v="5"/>
            <x v="6"/>
            <x v="7"/>
            <x v="8"/>
            <x v="9"/>
            <x v="10"/>
            <x v="11"/>
            <x v="12"/>
            <x v="13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693">
      <pivotArea field="101" type="button" dataOnly="0" labelOnly="1" outline="0" axis="axisRow" fieldPosition="0"/>
    </format>
    <format dxfId="692">
      <pivotArea dataOnly="0" labelOnly="1" outline="0" fieldPosition="0">
        <references count="1">
          <reference field="4294967294" count="20">
            <x v="0"/>
            <x v="2"/>
            <x v="5"/>
            <x v="6"/>
            <x v="7"/>
            <x v="8"/>
            <x v="9"/>
            <x v="10"/>
            <x v="11"/>
            <x v="12"/>
            <x v="13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691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  <format dxfId="690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689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688">
      <pivotArea outline="0" collapsedLevelsAreSubtotals="1" fieldPosition="0">
        <references count="1">
          <reference field="4294967294" count="1" selected="0">
            <x v="17"/>
          </reference>
        </references>
      </pivotArea>
    </format>
    <format dxfId="687">
      <pivotArea outline="0" collapsedLevelsAreSubtotals="1" fieldPosition="0">
        <references count="1">
          <reference field="4294967294" count="1" selected="0">
            <x v="24"/>
          </reference>
        </references>
      </pivotArea>
    </format>
    <format dxfId="686">
      <pivotArea dataOnly="0" labelOnly="1" outline="0" fieldPosition="0">
        <references count="1">
          <reference field="4294967294" count="1">
            <x v="24"/>
          </reference>
        </references>
      </pivotArea>
    </format>
    <format dxfId="685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684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683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  <format dxfId="682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681">
      <pivotArea outline="0" collapsedLevelsAreSubtotals="1" fieldPosition="0">
        <references count="1">
          <reference field="4294967294" count="1" selected="0">
            <x v="8"/>
          </reference>
        </references>
      </pivotArea>
    </format>
    <format dxfId="680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679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678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677">
      <pivotArea outline="0" collapsedLevelsAreSubtotals="1" fieldPosition="0">
        <references count="1">
          <reference field="4294967294" count="5" selected="0">
            <x v="10"/>
            <x v="11"/>
            <x v="12"/>
            <x v="13"/>
            <x v="16"/>
          </reference>
        </references>
      </pivotArea>
    </format>
    <format dxfId="676">
      <pivotArea dataOnly="0" labelOnly="1" outline="0" fieldPosition="0">
        <references count="1">
          <reference field="4294967294" count="5">
            <x v="10"/>
            <x v="11"/>
            <x v="12"/>
            <x v="13"/>
            <x v="16"/>
          </reference>
        </references>
      </pivotArea>
    </format>
    <format dxfId="675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674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673">
      <pivotArea outline="0" collapsedLevelsAreSubtotals="1" fieldPosition="0">
        <references count="1">
          <reference field="4294967294" count="2" selected="0">
            <x v="21"/>
            <x v="22"/>
          </reference>
        </references>
      </pivotArea>
    </format>
    <format dxfId="672">
      <pivotArea dataOnly="0" labelOnly="1" outline="0" fieldPosition="0">
        <references count="1">
          <reference field="4294967294" count="2">
            <x v="21"/>
            <x v="22"/>
          </reference>
        </references>
      </pivotArea>
    </format>
    <format dxfId="671">
      <pivotArea outline="0" collapsedLevelsAreSubtotals="1" fieldPosition="0">
        <references count="1">
          <reference field="4294967294" count="1" selected="0">
            <x v="23"/>
          </reference>
        </references>
      </pivotArea>
    </format>
    <format dxfId="670">
      <pivotArea dataOnly="0" labelOnly="1" outline="0" fieldPosition="0">
        <references count="1">
          <reference field="4294967294" count="1">
            <x v="23"/>
          </reference>
        </references>
      </pivotArea>
    </format>
    <format dxfId="669">
      <pivotArea dataOnly="0" labelOnly="1" outline="0" fieldPosition="0">
        <references count="1">
          <reference field="4294967294" count="1">
            <x v="25"/>
          </reference>
        </references>
      </pivotArea>
    </format>
    <format dxfId="668">
      <pivotArea dataOnly="0" labelOnly="1" outline="0" fieldPosition="0">
        <references count="1">
          <reference field="4294967294" count="1">
            <x v="26"/>
          </reference>
        </references>
      </pivotArea>
    </format>
    <format dxfId="667">
      <pivotArea outline="0" collapsedLevelsAreSubtotals="1" fieldPosition="0">
        <references count="1">
          <reference field="4294967294" count="1" selected="0">
            <x v="26"/>
          </reference>
        </references>
      </pivotArea>
    </format>
    <format dxfId="666">
      <pivotArea dataOnly="0" labelOnly="1" outline="0" fieldPosition="0">
        <references count="1">
          <reference field="4294967294" count="1">
            <x v="26"/>
          </reference>
        </references>
      </pivotArea>
    </format>
    <format dxfId="665">
      <pivotArea outline="0" collapsedLevelsAreSubtotals="1" fieldPosition="0">
        <references count="1">
          <reference field="4294967294" count="1" selected="0">
            <x v="25"/>
          </reference>
        </references>
      </pivotArea>
    </format>
    <format dxfId="664">
      <pivotArea dataOnly="0" labelOnly="1" outline="0" fieldPosition="0">
        <references count="1">
          <reference field="4294967294" count="1">
            <x v="25"/>
          </reference>
        </references>
      </pivotArea>
    </format>
    <format dxfId="663">
      <pivotArea outline="0" collapsedLevelsAreSubtotals="1" fieldPosition="0">
        <references count="1">
          <reference field="4294967294" count="1" selected="0">
            <x v="27"/>
          </reference>
        </references>
      </pivotArea>
    </format>
    <format dxfId="662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661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660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659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  <format dxfId="658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657">
      <pivotArea outline="0" collapsedLevelsAreSubtotals="1" fieldPosition="0">
        <references count="1">
          <reference field="4294967294" count="1" selected="0">
            <x v="32"/>
          </reference>
        </references>
      </pivotArea>
    </format>
    <format dxfId="656">
      <pivotArea dataOnly="0" labelOnly="1" outline="0" fieldPosition="0">
        <references count="1">
          <reference field="4294967294" count="1">
            <x v="32"/>
          </reference>
        </references>
      </pivotArea>
    </format>
    <format dxfId="655">
      <pivotArea dataOnly="0" labelOnly="1" outline="0" fieldPosition="0">
        <references count="1">
          <reference field="4294967294" count="1">
            <x v="32"/>
          </reference>
        </references>
      </pivotArea>
    </format>
    <format dxfId="654">
      <pivotArea outline="0" collapsedLevelsAreSubtotals="1" fieldPosition="0">
        <references count="1">
          <reference field="4294967294" count="1" selected="0">
            <x v="29"/>
          </reference>
        </references>
      </pivotArea>
    </format>
    <format dxfId="653">
      <pivotArea dataOnly="0" labelOnly="1" outline="0" fieldPosition="0">
        <references count="1">
          <reference field="4294967294" count="1">
            <x v="29"/>
          </reference>
        </references>
      </pivotArea>
    </format>
    <format dxfId="652">
      <pivotArea dataOnly="0" labelOnly="1" outline="0" fieldPosition="0">
        <references count="1">
          <reference field="4294967294" count="1">
            <x v="29"/>
          </reference>
        </references>
      </pivotArea>
    </format>
    <format dxfId="651">
      <pivotArea outline="0" collapsedLevelsAreSubtotals="1" fieldPosition="0">
        <references count="1">
          <reference field="4294967294" count="1" selected="0">
            <x v="30"/>
          </reference>
        </references>
      </pivotArea>
    </format>
    <format dxfId="650">
      <pivotArea dataOnly="0" labelOnly="1" outline="0" fieldPosition="0">
        <references count="1">
          <reference field="4294967294" count="1">
            <x v="30"/>
          </reference>
        </references>
      </pivotArea>
    </format>
    <format dxfId="649">
      <pivotArea dataOnly="0" labelOnly="1" outline="0" fieldPosition="0">
        <references count="1">
          <reference field="4294967294" count="1">
            <x v="30"/>
          </reference>
        </references>
      </pivotArea>
    </format>
    <format dxfId="648">
      <pivotArea dataOnly="0" labelOnly="1" outline="0" fieldPosition="0">
        <references count="1">
          <reference field="4294967294" count="1">
            <x v="31"/>
          </reference>
        </references>
      </pivotArea>
    </format>
    <format dxfId="647">
      <pivotArea outline="0" collapsedLevelsAreSubtotals="1" fieldPosition="0">
        <references count="1">
          <reference field="4294967294" count="1" selected="0">
            <x v="31"/>
          </reference>
        </references>
      </pivotArea>
    </format>
    <format dxfId="646">
      <pivotArea dataOnly="0" labelOnly="1" outline="0" fieldPosition="0">
        <references count="1">
          <reference field="4294967294" count="1">
            <x v="31"/>
          </reference>
        </references>
      </pivotArea>
    </format>
    <format dxfId="645">
      <pivotArea field="101" type="button" dataOnly="0" labelOnly="1" outline="0" axis="axisRow" fieldPosition="0"/>
    </format>
    <format dxfId="644">
      <pivotArea dataOnly="0" labelOnly="1" outline="0" fieldPosition="0">
        <references count="1">
          <reference field="4294967294" count="30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</reference>
        </references>
      </pivotArea>
    </format>
    <format dxfId="643">
      <pivotArea dataOnly="0" labelOnly="1" outline="0" fieldPosition="0">
        <references count="1">
          <reference field="4294967294" count="2">
            <x v="14"/>
            <x v="15"/>
          </reference>
        </references>
      </pivotArea>
    </format>
    <format dxfId="642">
      <pivotArea outline="0" collapsedLevelsAreSubtotals="1" fieldPosition="0">
        <references count="1">
          <reference field="4294967294" count="2" selected="0">
            <x v="14"/>
            <x v="15"/>
          </reference>
        </references>
      </pivotArea>
    </format>
    <format dxfId="641">
      <pivotArea dataOnly="0" labelOnly="1" outline="0" fieldPosition="0">
        <references count="1">
          <reference field="4294967294" count="2">
            <x v="14"/>
            <x v="15"/>
          </reference>
        </references>
      </pivotArea>
    </format>
    <format dxfId="640">
      <pivotArea collapsedLevelsAreSubtotals="1" fieldPosition="0">
        <references count="2">
          <reference field="4294967294" count="1" selected="0">
            <x v="1"/>
          </reference>
          <reference field="101" count="7">
            <x v="42"/>
            <x v="59"/>
            <x v="91"/>
            <x v="135"/>
            <x v="143"/>
            <x v="148"/>
            <x v="156"/>
          </reference>
        </references>
      </pivotArea>
    </format>
    <format dxfId="639">
      <pivotArea collapsedLevelsAreSubtotals="1" fieldPosition="0">
        <references count="2">
          <reference field="4294967294" count="1" selected="0">
            <x v="1"/>
          </reference>
          <reference field="101" count="17">
            <x v="23"/>
            <x v="24"/>
            <x v="31"/>
            <x v="40"/>
            <x v="45"/>
            <x v="64"/>
            <x v="65"/>
            <x v="71"/>
            <x v="80"/>
            <x v="102"/>
            <x v="108"/>
            <x v="116"/>
            <x v="118"/>
            <x v="119"/>
            <x v="139"/>
            <x v="140"/>
            <x v="144"/>
          </reference>
        </references>
      </pivotArea>
    </format>
    <format dxfId="638">
      <pivotArea collapsedLevelsAreSubtotals="1" fieldPosition="0">
        <references count="2">
          <reference field="4294967294" count="1" selected="0">
            <x v="1"/>
          </reference>
          <reference field="101" count="13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5"/>
            <x v="26"/>
            <x v="27"/>
            <x v="28"/>
            <x v="29"/>
            <x v="30"/>
            <x v="32"/>
            <x v="33"/>
            <x v="34"/>
            <x v="35"/>
            <x v="36"/>
            <x v="37"/>
            <x v="38"/>
            <x v="39"/>
            <x v="41"/>
            <x v="43"/>
            <x v="44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60"/>
            <x v="61"/>
            <x v="62"/>
            <x v="63"/>
            <x v="66"/>
            <x v="67"/>
            <x v="68"/>
            <x v="69"/>
            <x v="70"/>
            <x v="72"/>
            <x v="73"/>
            <x v="74"/>
            <x v="75"/>
            <x v="76"/>
            <x v="77"/>
            <x v="78"/>
            <x v="79"/>
            <x v="81"/>
            <x v="82"/>
            <x v="83"/>
            <x v="84"/>
            <x v="85"/>
            <x v="86"/>
            <x v="87"/>
            <x v="88"/>
            <x v="89"/>
            <x v="90"/>
            <x v="92"/>
            <x v="93"/>
            <x v="94"/>
            <x v="95"/>
            <x v="96"/>
            <x v="97"/>
            <x v="98"/>
            <x v="99"/>
            <x v="100"/>
            <x v="101"/>
            <x v="103"/>
            <x v="104"/>
            <x v="105"/>
            <x v="106"/>
            <x v="107"/>
            <x v="109"/>
            <x v="111"/>
            <x v="112"/>
            <x v="113"/>
            <x v="114"/>
            <x v="115"/>
            <x v="117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6"/>
            <x v="137"/>
            <x v="138"/>
            <x v="141"/>
            <x v="142"/>
            <x v="145"/>
            <x v="146"/>
            <x v="147"/>
            <x v="149"/>
            <x v="150"/>
            <x v="151"/>
            <x v="152"/>
            <x v="153"/>
            <x v="154"/>
            <x v="155"/>
          </reference>
        </references>
      </pivotArea>
    </format>
    <format dxfId="63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36">
      <pivotArea collapsedLevelsAreSubtotals="1" fieldPosition="0">
        <references count="2">
          <reference field="4294967294" count="1" selected="0">
            <x v="0"/>
          </reference>
          <reference field="101" count="95">
            <x v="3"/>
            <x v="11"/>
            <x v="12"/>
            <x v="13"/>
            <x v="15"/>
            <x v="16"/>
            <x v="18"/>
            <x v="19"/>
            <x v="23"/>
            <x v="24"/>
            <x v="25"/>
            <x v="26"/>
            <x v="27"/>
            <x v="28"/>
            <x v="30"/>
            <x v="31"/>
            <x v="32"/>
            <x v="33"/>
            <x v="36"/>
            <x v="37"/>
            <x v="38"/>
            <x v="39"/>
            <x v="40"/>
            <x v="42"/>
            <x v="44"/>
            <x v="45"/>
            <x v="47"/>
            <x v="49"/>
            <x v="50"/>
            <x v="55"/>
            <x v="59"/>
            <x v="60"/>
            <x v="62"/>
            <x v="63"/>
            <x v="64"/>
            <x v="65"/>
            <x v="66"/>
            <x v="68"/>
            <x v="70"/>
            <x v="71"/>
            <x v="72"/>
            <x v="73"/>
            <x v="75"/>
            <x v="76"/>
            <x v="77"/>
            <x v="78"/>
            <x v="79"/>
            <x v="80"/>
            <x v="85"/>
            <x v="87"/>
            <x v="89"/>
            <x v="90"/>
            <x v="91"/>
            <x v="92"/>
            <x v="93"/>
            <x v="94"/>
            <x v="97"/>
            <x v="100"/>
            <x v="102"/>
            <x v="103"/>
            <x v="105"/>
            <x v="106"/>
            <x v="107"/>
            <x v="108"/>
            <x v="112"/>
            <x v="116"/>
            <x v="118"/>
            <x v="119"/>
            <x v="122"/>
            <x v="123"/>
            <x v="124"/>
            <x v="125"/>
            <x v="126"/>
            <x v="128"/>
            <x v="129"/>
            <x v="130"/>
            <x v="131"/>
            <x v="132"/>
            <x v="134"/>
            <x v="135"/>
            <x v="136"/>
            <x v="137"/>
            <x v="139"/>
            <x v="140"/>
            <x v="141"/>
            <x v="143"/>
            <x v="144"/>
            <x v="145"/>
            <x v="146"/>
            <x v="147"/>
            <x v="148"/>
            <x v="150"/>
            <x v="154"/>
            <x v="155"/>
            <x v="156"/>
          </reference>
        </references>
      </pivotArea>
    </format>
    <format dxfId="63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34">
      <pivotArea collapsedLevelsAreSubtotals="1" fieldPosition="0">
        <references count="2">
          <reference field="4294967294" count="1" selected="0">
            <x v="0"/>
          </reference>
          <reference field="101" count="60">
            <x v="1"/>
            <x v="2"/>
            <x v="4"/>
            <x v="5"/>
            <x v="6"/>
            <x v="7"/>
            <x v="8"/>
            <x v="9"/>
            <x v="10"/>
            <x v="14"/>
            <x v="17"/>
            <x v="20"/>
            <x v="21"/>
            <x v="22"/>
            <x v="29"/>
            <x v="34"/>
            <x v="35"/>
            <x v="41"/>
            <x v="43"/>
            <x v="46"/>
            <x v="48"/>
            <x v="51"/>
            <x v="52"/>
            <x v="53"/>
            <x v="54"/>
            <x v="56"/>
            <x v="57"/>
            <x v="58"/>
            <x v="61"/>
            <x v="67"/>
            <x v="69"/>
            <x v="74"/>
            <x v="81"/>
            <x v="82"/>
            <x v="83"/>
            <x v="84"/>
            <x v="86"/>
            <x v="88"/>
            <x v="95"/>
            <x v="96"/>
            <x v="98"/>
            <x v="99"/>
            <x v="101"/>
            <x v="104"/>
            <x v="109"/>
            <x v="111"/>
            <x v="113"/>
            <x v="114"/>
            <x v="115"/>
            <x v="117"/>
            <x v="120"/>
            <x v="121"/>
            <x v="127"/>
            <x v="133"/>
            <x v="138"/>
            <x v="142"/>
            <x v="149"/>
            <x v="151"/>
            <x v="152"/>
            <x v="153"/>
          </reference>
        </references>
      </pivotArea>
    </format>
    <format dxfId="633">
      <pivotArea collapsedLevelsAreSubtotals="1" fieldPosition="0">
        <references count="2">
          <reference field="4294967294" count="1" selected="0">
            <x v="18"/>
          </reference>
          <reference field="101" count="9">
            <x v="9"/>
            <x v="24"/>
            <x v="28"/>
            <x v="34"/>
            <x v="46"/>
            <x v="58"/>
            <x v="122"/>
            <x v="143"/>
            <x v="148"/>
          </reference>
        </references>
      </pivotArea>
    </format>
    <format dxfId="632">
      <pivotArea dataOnly="0" labelOnly="1" outline="0" fieldPosition="0">
        <references count="1">
          <reference field="4294967294" count="1">
            <x v="18"/>
          </reference>
        </references>
      </pivotArea>
    </format>
    <format dxfId="631">
      <pivotArea collapsedLevelsAreSubtotals="1" fieldPosition="0">
        <references count="2">
          <reference field="4294967294" count="1" selected="0">
            <x v="18"/>
          </reference>
          <reference field="101" count="45">
            <x v="1"/>
            <x v="2"/>
            <x v="6"/>
            <x v="8"/>
            <x v="10"/>
            <x v="12"/>
            <x v="15"/>
            <x v="17"/>
            <x v="25"/>
            <x v="27"/>
            <x v="35"/>
            <x v="37"/>
            <x v="39"/>
            <x v="44"/>
            <x v="49"/>
            <x v="51"/>
            <x v="54"/>
            <x v="56"/>
            <x v="57"/>
            <x v="60"/>
            <x v="67"/>
            <x v="68"/>
            <x v="72"/>
            <x v="74"/>
            <x v="79"/>
            <x v="81"/>
            <x v="82"/>
            <x v="83"/>
            <x v="84"/>
            <x v="91"/>
            <x v="94"/>
            <x v="101"/>
            <x v="104"/>
            <x v="106"/>
            <x v="112"/>
            <x v="113"/>
            <x v="116"/>
            <x v="120"/>
            <x v="121"/>
            <x v="134"/>
            <x v="135"/>
            <x v="137"/>
            <x v="145"/>
            <x v="149"/>
            <x v="152"/>
          </reference>
        </references>
      </pivotArea>
    </format>
    <format dxfId="630">
      <pivotArea collapsedLevelsAreSubtotals="1" fieldPosition="0">
        <references count="2">
          <reference field="4294967294" count="1" selected="0">
            <x v="18"/>
          </reference>
          <reference field="101" count="101">
            <x v="3"/>
            <x v="4"/>
            <x v="5"/>
            <x v="7"/>
            <x v="11"/>
            <x v="13"/>
            <x v="14"/>
            <x v="16"/>
            <x v="18"/>
            <x v="19"/>
            <x v="20"/>
            <x v="21"/>
            <x v="22"/>
            <x v="23"/>
            <x v="26"/>
            <x v="29"/>
            <x v="30"/>
            <x v="31"/>
            <x v="32"/>
            <x v="33"/>
            <x v="36"/>
            <x v="38"/>
            <x v="40"/>
            <x v="41"/>
            <x v="42"/>
            <x v="43"/>
            <x v="45"/>
            <x v="47"/>
            <x v="48"/>
            <x v="50"/>
            <x v="52"/>
            <x v="53"/>
            <x v="55"/>
            <x v="59"/>
            <x v="61"/>
            <x v="62"/>
            <x v="63"/>
            <x v="64"/>
            <x v="65"/>
            <x v="66"/>
            <x v="69"/>
            <x v="70"/>
            <x v="71"/>
            <x v="73"/>
            <x v="75"/>
            <x v="76"/>
            <x v="77"/>
            <x v="78"/>
            <x v="80"/>
            <x v="85"/>
            <x v="86"/>
            <x v="87"/>
            <x v="88"/>
            <x v="89"/>
            <x v="90"/>
            <x v="92"/>
            <x v="93"/>
            <x v="95"/>
            <x v="96"/>
            <x v="97"/>
            <x v="98"/>
            <x v="99"/>
            <x v="100"/>
            <x v="102"/>
            <x v="103"/>
            <x v="105"/>
            <x v="107"/>
            <x v="108"/>
            <x v="109"/>
            <x v="111"/>
            <x v="114"/>
            <x v="115"/>
            <x v="117"/>
            <x v="118"/>
            <x v="119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6"/>
            <x v="138"/>
            <x v="139"/>
            <x v="140"/>
            <x v="141"/>
            <x v="142"/>
            <x v="144"/>
            <x v="146"/>
            <x v="147"/>
            <x v="150"/>
            <x v="151"/>
            <x v="153"/>
            <x v="154"/>
            <x v="155"/>
            <x v="156"/>
          </reference>
        </references>
      </pivotArea>
    </format>
    <format dxfId="629">
      <pivotArea collapsedLevelsAreSubtotals="1" fieldPosition="0">
        <references count="2">
          <reference field="4294967294" count="1" selected="0">
            <x v="17"/>
          </reference>
          <reference field="101" count="9">
            <x v="9"/>
            <x v="24"/>
            <x v="28"/>
            <x v="34"/>
            <x v="46"/>
            <x v="58"/>
            <x v="122"/>
            <x v="143"/>
            <x v="148"/>
          </reference>
        </references>
      </pivotArea>
    </format>
    <format dxfId="628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627">
      <pivotArea collapsedLevelsAreSubtotals="1" fieldPosition="0">
        <references count="2">
          <reference field="4294967294" count="1" selected="0">
            <x v="17"/>
          </reference>
          <reference field="101" count="45">
            <x v="1"/>
            <x v="2"/>
            <x v="6"/>
            <x v="8"/>
            <x v="10"/>
            <x v="12"/>
            <x v="15"/>
            <x v="17"/>
            <x v="25"/>
            <x v="27"/>
            <x v="35"/>
            <x v="37"/>
            <x v="39"/>
            <x v="44"/>
            <x v="49"/>
            <x v="51"/>
            <x v="54"/>
            <x v="56"/>
            <x v="57"/>
            <x v="60"/>
            <x v="67"/>
            <x v="68"/>
            <x v="72"/>
            <x v="74"/>
            <x v="79"/>
            <x v="81"/>
            <x v="82"/>
            <x v="83"/>
            <x v="84"/>
            <x v="91"/>
            <x v="94"/>
            <x v="101"/>
            <x v="104"/>
            <x v="106"/>
            <x v="112"/>
            <x v="113"/>
            <x v="116"/>
            <x v="120"/>
            <x v="121"/>
            <x v="134"/>
            <x v="135"/>
            <x v="137"/>
            <x v="145"/>
            <x v="149"/>
            <x v="152"/>
          </reference>
        </references>
      </pivotArea>
    </format>
    <format dxfId="626">
      <pivotArea collapsedLevelsAreSubtotals="1" fieldPosition="0">
        <references count="2">
          <reference field="4294967294" count="1" selected="0">
            <x v="17"/>
          </reference>
          <reference field="101" count="101">
            <x v="3"/>
            <x v="4"/>
            <x v="5"/>
            <x v="7"/>
            <x v="11"/>
            <x v="13"/>
            <x v="14"/>
            <x v="16"/>
            <x v="18"/>
            <x v="19"/>
            <x v="20"/>
            <x v="21"/>
            <x v="22"/>
            <x v="23"/>
            <x v="26"/>
            <x v="29"/>
            <x v="30"/>
            <x v="31"/>
            <x v="32"/>
            <x v="33"/>
            <x v="36"/>
            <x v="38"/>
            <x v="40"/>
            <x v="41"/>
            <x v="42"/>
            <x v="43"/>
            <x v="45"/>
            <x v="47"/>
            <x v="48"/>
            <x v="50"/>
            <x v="52"/>
            <x v="53"/>
            <x v="55"/>
            <x v="59"/>
            <x v="61"/>
            <x v="62"/>
            <x v="63"/>
            <x v="64"/>
            <x v="65"/>
            <x v="66"/>
            <x v="69"/>
            <x v="70"/>
            <x v="71"/>
            <x v="73"/>
            <x v="75"/>
            <x v="76"/>
            <x v="77"/>
            <x v="78"/>
            <x v="80"/>
            <x v="85"/>
            <x v="86"/>
            <x v="87"/>
            <x v="88"/>
            <x v="89"/>
            <x v="90"/>
            <x v="92"/>
            <x v="93"/>
            <x v="95"/>
            <x v="96"/>
            <x v="97"/>
            <x v="98"/>
            <x v="99"/>
            <x v="100"/>
            <x v="102"/>
            <x v="103"/>
            <x v="105"/>
            <x v="107"/>
            <x v="108"/>
            <x v="109"/>
            <x v="111"/>
            <x v="114"/>
            <x v="115"/>
            <x v="117"/>
            <x v="118"/>
            <x v="119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6"/>
            <x v="138"/>
            <x v="139"/>
            <x v="140"/>
            <x v="141"/>
            <x v="142"/>
            <x v="144"/>
            <x v="146"/>
            <x v="147"/>
            <x v="150"/>
            <x v="151"/>
            <x v="153"/>
            <x v="154"/>
            <x v="155"/>
            <x v="156"/>
          </reference>
        </references>
      </pivotArea>
    </format>
    <format dxfId="625">
      <pivotArea collapsedLevelsAreSubtotals="1" fieldPosition="0">
        <references count="2">
          <reference field="4294967294" count="1" selected="0">
            <x v="20"/>
          </reference>
          <reference field="101" count="9">
            <x v="9"/>
            <x v="24"/>
            <x v="28"/>
            <x v="34"/>
            <x v="46"/>
            <x v="58"/>
            <x v="122"/>
            <x v="143"/>
            <x v="148"/>
          </reference>
        </references>
      </pivotArea>
    </format>
    <format dxfId="624">
      <pivotArea dataOnly="0" labelOnly="1" outline="0" fieldPosition="0">
        <references count="1">
          <reference field="4294967294" count="1">
            <x v="20"/>
          </reference>
        </references>
      </pivotArea>
    </format>
    <format dxfId="623">
      <pivotArea collapsedLevelsAreSubtotals="1" fieldPosition="0">
        <references count="2">
          <reference field="4294967294" count="1" selected="0">
            <x v="20"/>
          </reference>
          <reference field="101" count="45">
            <x v="1"/>
            <x v="2"/>
            <x v="6"/>
            <x v="8"/>
            <x v="10"/>
            <x v="12"/>
            <x v="15"/>
            <x v="17"/>
            <x v="25"/>
            <x v="27"/>
            <x v="35"/>
            <x v="37"/>
            <x v="39"/>
            <x v="44"/>
            <x v="49"/>
            <x v="51"/>
            <x v="54"/>
            <x v="56"/>
            <x v="57"/>
            <x v="60"/>
            <x v="67"/>
            <x v="68"/>
            <x v="72"/>
            <x v="74"/>
            <x v="79"/>
            <x v="81"/>
            <x v="82"/>
            <x v="83"/>
            <x v="84"/>
            <x v="91"/>
            <x v="94"/>
            <x v="101"/>
            <x v="104"/>
            <x v="106"/>
            <x v="112"/>
            <x v="113"/>
            <x v="116"/>
            <x v="120"/>
            <x v="121"/>
            <x v="134"/>
            <x v="135"/>
            <x v="137"/>
            <x v="145"/>
            <x v="149"/>
            <x v="152"/>
          </reference>
        </references>
      </pivotArea>
    </format>
    <format dxfId="622">
      <pivotArea collapsedLevelsAreSubtotals="1" fieldPosition="0">
        <references count="2">
          <reference field="4294967294" count="1" selected="0">
            <x v="20"/>
          </reference>
          <reference field="101" count="101">
            <x v="3"/>
            <x v="4"/>
            <x v="5"/>
            <x v="7"/>
            <x v="11"/>
            <x v="13"/>
            <x v="14"/>
            <x v="16"/>
            <x v="18"/>
            <x v="19"/>
            <x v="20"/>
            <x v="21"/>
            <x v="22"/>
            <x v="23"/>
            <x v="26"/>
            <x v="29"/>
            <x v="30"/>
            <x v="31"/>
            <x v="32"/>
            <x v="33"/>
            <x v="36"/>
            <x v="38"/>
            <x v="40"/>
            <x v="41"/>
            <x v="42"/>
            <x v="43"/>
            <x v="45"/>
            <x v="47"/>
            <x v="48"/>
            <x v="50"/>
            <x v="52"/>
            <x v="53"/>
            <x v="55"/>
            <x v="59"/>
            <x v="61"/>
            <x v="62"/>
            <x v="63"/>
            <x v="64"/>
            <x v="65"/>
            <x v="66"/>
            <x v="69"/>
            <x v="70"/>
            <x v="71"/>
            <x v="73"/>
            <x v="75"/>
            <x v="76"/>
            <x v="77"/>
            <x v="78"/>
            <x v="80"/>
            <x v="85"/>
            <x v="86"/>
            <x v="87"/>
            <x v="88"/>
            <x v="89"/>
            <x v="90"/>
            <x v="92"/>
            <x v="93"/>
            <x v="95"/>
            <x v="96"/>
            <x v="97"/>
            <x v="98"/>
            <x v="99"/>
            <x v="100"/>
            <x v="102"/>
            <x v="103"/>
            <x v="105"/>
            <x v="107"/>
            <x v="108"/>
            <x v="109"/>
            <x v="111"/>
            <x v="114"/>
            <x v="115"/>
            <x v="117"/>
            <x v="118"/>
            <x v="119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6"/>
            <x v="138"/>
            <x v="139"/>
            <x v="140"/>
            <x v="141"/>
            <x v="142"/>
            <x v="144"/>
            <x v="146"/>
            <x v="147"/>
            <x v="150"/>
            <x v="151"/>
            <x v="153"/>
            <x v="154"/>
            <x v="155"/>
            <x v="156"/>
          </reference>
        </references>
      </pivotArea>
    </format>
    <format dxfId="621">
      <pivotArea collapsedLevelsAreSubtotals="1" fieldPosition="0">
        <references count="2">
          <reference field="4294967294" count="1" selected="0">
            <x v="1"/>
          </reference>
          <reference field="101" count="1">
            <x v="157"/>
          </reference>
        </references>
      </pivotArea>
    </format>
    <format dxfId="620">
      <pivotArea collapsedLevelsAreSubtotals="1" fieldPosition="0">
        <references count="2">
          <reference field="4294967294" count="1" selected="0">
            <x v="1"/>
          </reference>
          <reference field="101" count="1">
            <x v="0"/>
          </reference>
        </references>
      </pivotArea>
    </format>
  </formats>
  <conditionalFormats count="36">
    <conditionalFormat scope="data" priority="83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833">
      <pivotAreas count="1">
        <pivotArea outline="0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scope="data" priority="832">
      <pivotAreas count="1">
        <pivotArea outline="0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scope="data" priority="831">
      <pivotAreas count="1">
        <pivotArea outline="0" fieldPosition="0">
          <references count="1">
            <reference field="4294967294" count="1" selected="0">
              <x v="5"/>
            </reference>
          </references>
        </pivotArea>
      </pivotAreas>
    </conditionalFormat>
    <conditionalFormat scope="data" priority="830">
      <pivotAreas count="1">
        <pivotArea outline="0" fieldPosition="0">
          <references count="1">
            <reference field="4294967294" count="1" selected="0">
              <x v="6"/>
            </reference>
          </references>
        </pivotArea>
      </pivotAreas>
    </conditionalFormat>
    <conditionalFormat scope="data" priority="829">
      <pivotAreas count="1">
        <pivotArea outline="0" fieldPosition="0">
          <references count="1">
            <reference field="4294967294" count="1" selected="0">
              <x v="7"/>
            </reference>
          </references>
        </pivotArea>
      </pivotAreas>
    </conditionalFormat>
    <conditionalFormat scope="data" priority="828">
      <pivotAreas count="1">
        <pivotArea outline="0" fieldPosition="0">
          <references count="1">
            <reference field="4294967294" count="1" selected="0">
              <x v="8"/>
            </reference>
          </references>
        </pivotArea>
      </pivotAreas>
    </conditionalFormat>
    <conditionalFormat scope="data" priority="827">
      <pivotAreas count="1">
        <pivotArea outline="0" fieldPosition="0">
          <references count="1">
            <reference field="4294967294" count="1" selected="0">
              <x v="9"/>
            </reference>
          </references>
        </pivotArea>
      </pivotAreas>
    </conditionalFormat>
    <conditionalFormat scope="data" priority="826">
      <pivotAreas count="1">
        <pivotArea outline="0" fieldPosition="0">
          <references count="1">
            <reference field="4294967294" count="1" selected="0">
              <x v="10"/>
            </reference>
          </references>
        </pivotArea>
      </pivotAreas>
    </conditionalFormat>
    <conditionalFormat scope="data" priority="825">
      <pivotAreas count="1">
        <pivotArea outline="0" fieldPosition="0">
          <references count="1">
            <reference field="4294967294" count="1" selected="0">
              <x v="11"/>
            </reference>
          </references>
        </pivotArea>
      </pivotAreas>
    </conditionalFormat>
    <conditionalFormat scope="data" priority="824">
      <pivotAreas count="1">
        <pivotArea outline="0" fieldPosition="0">
          <references count="1">
            <reference field="4294967294" count="1" selected="0">
              <x v="12"/>
            </reference>
          </references>
        </pivotArea>
      </pivotAreas>
    </conditionalFormat>
    <conditionalFormat scope="data" priority="823">
      <pivotAreas count="1">
        <pivotArea outline="0" fieldPosition="0">
          <references count="1">
            <reference field="4294967294" count="1" selected="0">
              <x v="13"/>
            </reference>
          </references>
        </pivotArea>
      </pivotAreas>
    </conditionalFormat>
    <conditionalFormat scope="data" priority="822">
      <pivotAreas count="1">
        <pivotArea outline="0" fieldPosition="0">
          <references count="1">
            <reference field="4294967294" count="1" selected="0">
              <x v="14"/>
            </reference>
          </references>
        </pivotArea>
      </pivotAreas>
    </conditionalFormat>
    <conditionalFormat scope="data" priority="821">
      <pivotAreas count="1">
        <pivotArea outline="0" fieldPosition="0">
          <references count="1">
            <reference field="4294967294" count="1" selected="0">
              <x v="15"/>
            </reference>
          </references>
        </pivotArea>
      </pivotAreas>
    </conditionalFormat>
    <conditionalFormat scope="data" priority="820">
      <pivotAreas count="1">
        <pivotArea outline="0" fieldPosition="0">
          <references count="1">
            <reference field="4294967294" count="1" selected="0">
              <x v="16"/>
            </reference>
          </references>
        </pivotArea>
      </pivotAreas>
    </conditionalFormat>
    <conditionalFormat scope="data" priority="819">
      <pivotAreas count="1">
        <pivotArea outline="0" fieldPosition="0">
          <references count="1">
            <reference field="4294967294" count="1" selected="0">
              <x v="17"/>
            </reference>
          </references>
        </pivotArea>
      </pivotAreas>
    </conditionalFormat>
    <conditionalFormat scope="data" priority="818">
      <pivotAreas count="1">
        <pivotArea outline="0" fieldPosition="0">
          <references count="1">
            <reference field="4294967294" count="1" selected="0">
              <x v="18"/>
            </reference>
          </references>
        </pivotArea>
      </pivotAreas>
    </conditionalFormat>
    <conditionalFormat scope="data" priority="817">
      <pivotAreas count="1">
        <pivotArea outline="0" fieldPosition="0">
          <references count="1">
            <reference field="4294967294" count="1" selected="0">
              <x v="19"/>
            </reference>
          </references>
        </pivotArea>
      </pivotAreas>
    </conditionalFormat>
    <conditionalFormat scope="data" priority="816">
      <pivotAreas count="1">
        <pivotArea outline="0" fieldPosition="0">
          <references count="1">
            <reference field="4294967294" count="1" selected="0">
              <x v="20"/>
            </reference>
          </references>
        </pivotArea>
      </pivotAreas>
    </conditionalFormat>
    <conditionalFormat scope="data" priority="815">
      <pivotAreas count="1">
        <pivotArea outline="0" fieldPosition="0">
          <references count="1">
            <reference field="4294967294" count="1" selected="0">
              <x v="21"/>
            </reference>
          </references>
        </pivotArea>
      </pivotAreas>
    </conditionalFormat>
    <conditionalFormat scope="data" priority="814">
      <pivotAreas count="1">
        <pivotArea outline="0" fieldPosition="0">
          <references count="1">
            <reference field="4294967294" count="1" selected="0">
              <x v="22"/>
            </reference>
          </references>
        </pivotArea>
      </pivotAreas>
    </conditionalFormat>
    <conditionalFormat scope="data" priority="813">
      <pivotAreas count="1">
        <pivotArea outline="0" fieldPosition="0">
          <references count="1">
            <reference field="4294967294" count="1" selected="0">
              <x v="23"/>
            </reference>
          </references>
        </pivotArea>
      </pivotAreas>
    </conditionalFormat>
    <conditionalFormat scope="data" priority="812">
      <pivotAreas count="1">
        <pivotArea outline="0" fieldPosition="0">
          <references count="1">
            <reference field="4294967294" count="1" selected="0">
              <x v="24"/>
            </reference>
          </references>
        </pivotArea>
      </pivotAreas>
    </conditionalFormat>
    <conditionalFormat scope="data" priority="811">
      <pivotAreas count="1">
        <pivotArea outline="0" fieldPosition="0">
          <references count="1">
            <reference field="4294967294" count="1" selected="0">
              <x v="25"/>
            </reference>
          </references>
        </pivotArea>
      </pivotAreas>
    </conditionalFormat>
    <conditionalFormat scope="data" priority="810">
      <pivotAreas count="1">
        <pivotArea outline="0" fieldPosition="0">
          <references count="1">
            <reference field="4294967294" count="1" selected="0">
              <x v="26"/>
            </reference>
          </references>
        </pivotArea>
      </pivotAreas>
    </conditionalFormat>
    <conditionalFormat scope="data" priority="809">
      <pivotAreas count="1">
        <pivotArea outline="0" fieldPosition="0">
          <references count="1">
            <reference field="4294967294" count="1" selected="0">
              <x v="27"/>
            </reference>
          </references>
        </pivotArea>
      </pivotAreas>
    </conditionalFormat>
    <conditionalFormat scope="data" priority="808">
      <pivotAreas count="1">
        <pivotArea outline="0" fieldPosition="0">
          <references count="1">
            <reference field="4294967294" count="1" selected="0">
              <x v="27"/>
            </reference>
          </references>
        </pivotArea>
      </pivotAreas>
    </conditionalFormat>
    <conditionalFormat scope="data" priority="807">
      <pivotAreas count="1">
        <pivotArea outline="0" fieldPosition="0">
          <references count="1">
            <reference field="4294967294" count="1" selected="0">
              <x v="28"/>
            </reference>
          </references>
        </pivotArea>
      </pivotAreas>
    </conditionalFormat>
    <conditionalFormat scope="data" priority="806">
      <pivotAreas count="1">
        <pivotArea outline="0" fieldPosition="0">
          <references count="1">
            <reference field="4294967294" count="1" selected="0">
              <x v="28"/>
            </reference>
          </references>
        </pivotArea>
      </pivotAreas>
    </conditionalFormat>
    <conditionalFormat scope="data" priority="805">
      <pivotAreas count="1">
        <pivotArea outline="0" fieldPosition="0">
          <references count="1">
            <reference field="4294967294" count="1" selected="0">
              <x v="29"/>
            </reference>
          </references>
        </pivotArea>
      </pivotAreas>
    </conditionalFormat>
    <conditionalFormat scope="data" priority="804">
      <pivotAreas count="1">
        <pivotArea outline="0" fieldPosition="0">
          <references count="1">
            <reference field="4294967294" count="1" selected="0">
              <x v="30"/>
            </reference>
          </references>
        </pivotArea>
      </pivotAreas>
    </conditionalFormat>
    <conditionalFormat scope="data" priority="803">
      <pivotAreas count="1">
        <pivotArea outline="0" fieldPosition="0">
          <references count="1">
            <reference field="4294967294" count="1" selected="0">
              <x v="31"/>
            </reference>
          </references>
        </pivotArea>
      </pivotAreas>
    </conditionalFormat>
    <conditionalFormat scope="data" priority="802">
      <pivotAreas count="1">
        <pivotArea outline="0" fieldPosition="0">
          <references count="1">
            <reference field="4294967294" count="1" selected="0">
              <x v="32"/>
            </reference>
          </references>
        </pivotArea>
      </pivotAreas>
    </conditionalFormat>
    <conditionalFormat scope="data" priority="80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32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28"/>
            </reference>
          </references>
        </pivotArea>
      </pivotAreas>
    </conditionalFormat>
  </conditionalFormats>
  <pivotTableStyleInfo name="PivotStyleMedium15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F42912F5-3D1E-43F3-8175-5D3DF0FB30A1}" autoFormatId="16" applyNumberFormats="0" applyBorderFormats="0" applyFontFormats="0" applyPatternFormats="0" applyAlignmentFormats="0" applyWidthHeightFormats="0">
  <queryTableRefresh nextId="122" unboundColumnsRight="2">
    <queryTableFields count="104">
      <queryTableField id="1" name="Date" tableColumnId="87"/>
      <queryTableField id="2" name="High" tableColumnId="2"/>
      <queryTableField id="3" name="Low" tableColumnId="3"/>
      <queryTableField id="4" name="Open" tableColumnId="4"/>
      <queryTableField id="5" name="Close" tableColumnId="5"/>
      <queryTableField id="6" name="Volume" tableColumnId="6"/>
      <queryTableField id="7" name="Adj Close" tableColumnId="7"/>
      <queryTableField id="8" name="LastPrice" tableColumnId="8"/>
      <queryTableField id="9" name="PctReturn" tableColumnId="9"/>
      <queryTableField id="10" name="LogReturn" tableColumnId="10"/>
      <queryTableField id="11" name="Body" tableColumnId="11"/>
      <queryTableField id="12" name="Shadow_Lower" tableColumnId="12"/>
      <queryTableField id="13" name="Shadow_Upper" tableColumnId="13"/>
      <queryTableField id="14" name="Body_Relative" tableColumnId="14"/>
      <queryTableField id="15" name="Shadow_Lower_Relative" tableColumnId="15"/>
      <queryTableField id="16" name="Shadow_Upper_Relative" tableColumnId="16"/>
      <queryTableField id="17" name="Volatility_Anual" tableColumnId="17"/>
      <queryTableField id="18" name="Volatility_Month" tableColumnId="18"/>
      <queryTableField id="19" name="Last_Returns_10" tableColumnId="19"/>
      <queryTableField id="20" name="Trend5" tableColumnId="20"/>
      <queryTableField id="21" name="Trend9" tableColumnId="21"/>
      <queryTableField id="22" name="Trend14" tableColumnId="22"/>
      <queryTableField id="23" name="Trend20" tableColumnId="23"/>
      <queryTableField id="24" name="Momentum_10" tableColumnId="24"/>
      <queryTableField id="25" name="Momentum_10_SMA_9" tableColumnId="25"/>
      <queryTableField id="26" name="OBVsign" tableColumnId="26"/>
      <queryTableField id="27" name="OBV" tableColumnId="27"/>
      <queryTableField id="28" name="OBV_Trend5" tableColumnId="28"/>
      <queryTableField id="29" name="OBV_Trend14" tableColumnId="29"/>
      <queryTableField id="30" name="ADX14" tableColumnId="30"/>
      <queryTableField id="31" name="ADX14_Trend5" tableColumnId="31"/>
      <queryTableField id="32" name="ADX14_Trend14" tableColumnId="32"/>
      <queryTableField id="33" name="ATR14" tableColumnId="33"/>
      <queryTableField id="34" name="ATR14_Trend5" tableColumnId="34"/>
      <queryTableField id="35" name="ATR14_Trend14" tableColumnId="35"/>
      <queryTableField id="36" name="SMA3" tableColumnId="36"/>
      <queryTableField id="37" name="SMA8" tableColumnId="37"/>
      <queryTableField id="38" name="SMA20" tableColumnId="38"/>
      <queryTableField id="39" name="SMA20_STD" tableColumnId="39"/>
      <queryTableField id="40" name="SMA200" tableColumnId="40"/>
      <queryTableField id="41" name="Bollinger_Sup" tableColumnId="41"/>
      <queryTableField id="42" name="Bollinger_Inf" tableColumnId="42"/>
      <queryTableField id="87" name="Bollinger_Sup%" tableColumnId="1"/>
      <queryTableField id="88" name="Bollinger_Inf%" tableColumnId="88"/>
      <queryTableField id="43" name="Bollinger_Spread" tableColumnId="43"/>
      <queryTableField id="44" name="Bollinger_Spread_Trend5" tableColumnId="44"/>
      <queryTableField id="45" name="Bollinger_Spread_Trend14" tableColumnId="45"/>
      <queryTableField id="46" name="IFR_2" tableColumnId="46"/>
      <queryTableField id="47" name="IFR" tableColumnId="47"/>
      <queryTableField id="48" name="IFR_Trend5" tableColumnId="48"/>
      <queryTableField id="49" name="IFR_Trend14" tableColumnId="49"/>
      <queryTableField id="50" name="EMA9" tableColumnId="50"/>
      <queryTableField id="92" name="EMA9%" tableColumnId="90"/>
      <queryTableField id="51" name="EMA9_Trend9" tableColumnId="51"/>
      <queryTableField id="52" name="EMA12" tableColumnId="52"/>
      <queryTableField id="53" name="EMA21" tableColumnId="53"/>
      <queryTableField id="99" name="EMA21%" tableColumnId="89"/>
      <queryTableField id="54" name="EMA26" tableColumnId="54"/>
      <queryTableField id="55" name="EMA50" tableColumnId="55"/>
      <queryTableField id="93" name="EMA50%" tableColumnId="91"/>
      <queryTableField id="56" name="EMA50_Trend14" tableColumnId="56"/>
      <queryTableField id="57" name="EMA200" tableColumnId="57"/>
      <queryTableField id="94" name="EMA200%" tableColumnId="92"/>
      <queryTableField id="58" name="MACD" tableColumnId="58"/>
      <queryTableField id="59" name="MACD_Signal" tableColumnId="59"/>
      <queryTableField id="60" name="MACD_Hist" tableColumnId="60"/>
      <queryTableField id="61" name="MACD_Hist_Trend5" tableColumnId="61"/>
      <queryTableField id="62" name="MACD_Hist_Trend14" tableColumnId="62"/>
      <queryTableField id="63" name="SMA9_VOLUME" tableColumnId="63"/>
      <queryTableField id="64" name="SMA20_VOLUME" tableColumnId="64"/>
      <queryTableField id="65" name="SMA200_VOLUME" tableColumnId="65"/>
      <queryTableField id="117" name="SMA9_VOLUME%" tableColumnId="102"/>
      <queryTableField id="118" name="SMA20_VOLUME%" tableColumnId="103"/>
      <queryTableField id="66" name="STOCHASTIC_K_FAST" tableColumnId="66"/>
      <queryTableField id="67" name="STOCHASTIC_D_FAST" tableColumnId="67"/>
      <queryTableField id="68" name="STOCHASTIC_K_SLOW" tableColumnId="68"/>
      <queryTableField id="69" name="STOCHASTIC_D_SLOW" tableColumnId="69"/>
      <queryTableField id="70" name="STO_Trend5" tableColumnId="70"/>
      <queryTableField id="71" name="STO_Trend14" tableColumnId="71"/>
      <queryTableField id="72" name="#Romp_EMA9_Bear" tableColumnId="72"/>
      <queryTableField id="73" name="#Romp_EMA9_Bull" tableColumnId="73"/>
      <queryTableField id="100" name="#Romp_EMA9" tableColumnId="94"/>
      <queryTableField id="74" name="#Romp_EMA50_Bear" tableColumnId="74"/>
      <queryTableField id="75" name="#Romp_EMA50_Bull" tableColumnId="75"/>
      <queryTableField id="101" name="#Romp_EMA50" tableColumnId="95"/>
      <queryTableField id="76" name="#MACDH_Change_Bear" tableColumnId="76"/>
      <queryTableField id="77" name="#MACDH_Change_Bull" tableColumnId="77"/>
      <queryTableField id="102" name="#MACDH_Change" tableColumnId="96"/>
      <queryTableField id="78" name="#EMA9_Change_Bear" tableColumnId="78"/>
      <queryTableField id="79" name="#EMA9_Change_Bull" tableColumnId="79"/>
      <queryTableField id="103" name="#EMA9_Change" tableColumnId="97"/>
      <queryTableField id="80" name="#Trend_Divergence_Bear" tableColumnId="80"/>
      <queryTableField id="81" name="#Trend_Divergence_Bull" tableColumnId="81"/>
      <queryTableField id="104" name="#Trend_Divergence" tableColumnId="98"/>
      <queryTableField id="82" name="#IFR2_Bear" tableColumnId="82"/>
      <queryTableField id="83" name="#IFR2_Bull" tableColumnId="83"/>
      <queryTableField id="105" name="#IFR2" tableColumnId="99"/>
      <queryTableField id="84" name="#AGULHADA" tableColumnId="84"/>
      <queryTableField id="85" name="#INSIDEBAR_Bull" tableColumnId="85"/>
      <queryTableField id="106" name="#INSIDEBAR_Bear" tableColumnId="100"/>
      <queryTableField id="107" name="#INSIDEBAR" tableColumnId="101"/>
      <queryTableField id="86" name="Stock" tableColumnId="86"/>
      <queryTableField id="98" dataBound="0" tableColumnId="93"/>
      <queryTableField id="121" dataBound="0" tableColumnId="10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A60672F6-D9AA-4EED-8E4E-9C4F0AA6CE39}" autoFormatId="16" applyNumberFormats="0" applyBorderFormats="0" applyFontFormats="0" applyPatternFormats="0" applyAlignmentFormats="0" applyWidthHeightFormats="0">
  <queryTableRefresh nextId="12">
    <queryTableFields count="10">
      <queryTableField id="1" name="Date" tableColumnId="11"/>
      <queryTableField id="2" name="High" tableColumnId="2"/>
      <queryTableField id="3" name="Low" tableColumnId="3"/>
      <queryTableField id="4" name="Open" tableColumnId="4"/>
      <queryTableField id="5" name="Close" tableColumnId="5"/>
      <queryTableField id="6" name="Volume" tableColumnId="6"/>
      <queryTableField id="7" name="Adj Close" tableColumnId="7"/>
      <queryTableField id="8" name="Stock" tableColumnId="8"/>
      <queryTableField id="9" name="candlestick_pattern" tableColumnId="9"/>
      <queryTableField id="10" name="candlestick_match_count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93287C-1BBF-4F48-99A0-7730AD049A82}" name="bovespa_diario_last_date" displayName="bovespa_diario_last_date_1" ref="A1:CZ147" tableType="queryTable" totalsRowShown="0">
  <autoFilter ref="A1:CZ147" xr:uid="{576FF318-547A-4D3D-B71A-1BC985443935}"/>
  <tableColumns count="104">
    <tableColumn id="87" xr3:uid="{A73C10FC-37F5-4DFC-A80F-8E21182F7FBE}" uniqueName="87" name="Date" queryTableFieldId="1" dataDxfId="413"/>
    <tableColumn id="2" xr3:uid="{61ED99A5-030F-438E-8A11-DFB8EFD1975E}" uniqueName="2" name="High" queryTableFieldId="2" dataDxfId="412"/>
    <tableColumn id="3" xr3:uid="{50E5EA9A-2861-47F7-A801-CC5A5140497F}" uniqueName="3" name="Low" queryTableFieldId="3" dataDxfId="411"/>
    <tableColumn id="4" xr3:uid="{2E5D5D76-89ED-4261-B77D-5BC2CA524957}" uniqueName="4" name="Open" queryTableFieldId="4" dataDxfId="410"/>
    <tableColumn id="5" xr3:uid="{FCDDD372-E75D-448F-9D9F-EC54D3E2CC2B}" uniqueName="5" name="Close" queryTableFieldId="5" dataDxfId="409"/>
    <tableColumn id="6" xr3:uid="{8B4CE7D7-2AD8-4F58-A5B7-91C045C7735C}" uniqueName="6" name="Volume" queryTableFieldId="6" dataDxfId="408"/>
    <tableColumn id="7" xr3:uid="{AF2C334F-B8B2-418A-9BEA-363060479BA4}" uniqueName="7" name="Adj Close" queryTableFieldId="7" dataDxfId="407"/>
    <tableColumn id="8" xr3:uid="{1DB9C4AD-9D1B-4915-847B-862D8EFA2A4C}" uniqueName="8" name="LastPrice" queryTableFieldId="8" dataDxfId="406"/>
    <tableColumn id="9" xr3:uid="{6C54DDA2-4885-4EA3-BE05-8F3C1099C324}" uniqueName="9" name="PctReturn" queryTableFieldId="9" dataDxfId="405"/>
    <tableColumn id="10" xr3:uid="{692BAD76-BFAC-4CF7-B0D0-C7BE0D8709A4}" uniqueName="10" name="LogReturn" queryTableFieldId="10" dataDxfId="404"/>
    <tableColumn id="11" xr3:uid="{97B0277A-CCC9-462C-9106-508AA213F8AD}" uniqueName="11" name="Body" queryTableFieldId="11" dataDxfId="403"/>
    <tableColumn id="12" xr3:uid="{0DA3A20F-B0B4-4A55-A8BB-C0EB15AFAF31}" uniqueName="12" name="Shadow_Lower" queryTableFieldId="12" dataDxfId="402"/>
    <tableColumn id="13" xr3:uid="{6D7E2E81-D4F5-4B82-8235-66D49E240B6B}" uniqueName="13" name="Shadow_Upper" queryTableFieldId="13" dataDxfId="401"/>
    <tableColumn id="14" xr3:uid="{E5C26DF8-9C34-43B3-824D-41924ABE7B86}" uniqueName="14" name="Body_Relative" queryTableFieldId="14" dataDxfId="400"/>
    <tableColumn id="15" xr3:uid="{27EDF46A-AA93-4D12-95AC-A2A0304E54B9}" uniqueName="15" name="Shadow_Lower_Relative" queryTableFieldId="15" dataDxfId="399"/>
    <tableColumn id="16" xr3:uid="{FE1A3593-B8FA-43AE-BBC1-4C4A97B8D0E2}" uniqueName="16" name="Shadow_Upper_Relative" queryTableFieldId="16" dataDxfId="398"/>
    <tableColumn id="17" xr3:uid="{AAD9D60B-E8EA-4A81-9947-B684B1470CB8}" uniqueName="17" name="Volatility_Anual" queryTableFieldId="17" dataDxfId="397"/>
    <tableColumn id="18" xr3:uid="{A70B0711-EEBC-40E2-841E-3086A16E61CB}" uniqueName="18" name="Volatility_Month" queryTableFieldId="18" dataDxfId="396"/>
    <tableColumn id="19" xr3:uid="{006CF7DE-89F4-456B-93D1-325D7D347020}" uniqueName="19" name="Last_Returns_10" queryTableFieldId="19" dataDxfId="395"/>
    <tableColumn id="20" xr3:uid="{31A72F31-82D6-4A40-AA31-B78CEE1A0561}" uniqueName="20" name="Trend5" queryTableFieldId="20" dataDxfId="394"/>
    <tableColumn id="21" xr3:uid="{83E80A71-C609-4F86-AD8C-5364C08F7B13}" uniqueName="21" name="Trend9" queryTableFieldId="21" dataDxfId="393"/>
    <tableColumn id="22" xr3:uid="{C0F8F04F-F98B-467A-A86D-233193854B44}" uniqueName="22" name="Trend14" queryTableFieldId="22" dataDxfId="392"/>
    <tableColumn id="23" xr3:uid="{F2A65579-3E4B-421A-8045-E2A419D4A155}" uniqueName="23" name="Trend20" queryTableFieldId="23" dataDxfId="391"/>
    <tableColumn id="24" xr3:uid="{33E60361-64E8-48AB-8020-C94F0BA94A10}" uniqueName="24" name="Momentum_10" queryTableFieldId="24" dataDxfId="390"/>
    <tableColumn id="25" xr3:uid="{82BFA7B4-9152-4F75-BB3A-E8F72C3F9EC6}" uniqueName="25" name="Momentum_10_SMA_9" queryTableFieldId="25" dataDxfId="389"/>
    <tableColumn id="26" xr3:uid="{463D5C83-4B10-4ADC-993E-D4E1BF8F49CE}" uniqueName="26" name="OBVsign" queryTableFieldId="26" dataDxfId="388"/>
    <tableColumn id="27" xr3:uid="{DC72B8CC-CC4E-475C-908D-7BBB0481D800}" uniqueName="27" name="OBV" queryTableFieldId="27" dataDxfId="387"/>
    <tableColumn id="28" xr3:uid="{CFBB7350-D823-41AC-8E73-63CDD7BEBF10}" uniqueName="28" name="OBV_Trend5" queryTableFieldId="28" dataDxfId="386"/>
    <tableColumn id="29" xr3:uid="{6DC9A1BB-F71E-4820-B24A-3BB2AE5C42B3}" uniqueName="29" name="OBV_Trend14" queryTableFieldId="29" dataDxfId="385"/>
    <tableColumn id="30" xr3:uid="{08BEAF6E-5CB5-4B6F-8867-7C2900E5A91B}" uniqueName="30" name="ADX14" queryTableFieldId="30" dataDxfId="384"/>
    <tableColumn id="31" xr3:uid="{FD8C88C1-2F1D-436B-B7B6-FD6FF503E233}" uniqueName="31" name="ADX14_Trend5" queryTableFieldId="31" dataDxfId="383"/>
    <tableColumn id="32" xr3:uid="{BF13B8D0-580B-4847-A1E8-9A2F16C22871}" uniqueName="32" name="ADX14_Trend14" queryTableFieldId="32" dataDxfId="382"/>
    <tableColumn id="33" xr3:uid="{CAA6A8E8-805C-4F85-AC77-4F51A564F56B}" uniqueName="33" name="ATR14" queryTableFieldId="33" dataDxfId="381"/>
    <tableColumn id="34" xr3:uid="{D792D370-D266-4DB4-B065-11C02A90EED3}" uniqueName="34" name="ATR14_Trend5" queryTableFieldId="34" dataDxfId="380"/>
    <tableColumn id="35" xr3:uid="{2F18892C-8AF7-474C-87B6-BB39438026B7}" uniqueName="35" name="ATR14_Trend14" queryTableFieldId="35" dataDxfId="379"/>
    <tableColumn id="36" xr3:uid="{4D31FA7F-0FB7-4BB5-9187-0CF2E17F7BFB}" uniqueName="36" name="SMA3" queryTableFieldId="36" dataDxfId="378"/>
    <tableColumn id="37" xr3:uid="{FEAE3B4A-9130-4B0F-8754-F2E953FB7BAF}" uniqueName="37" name="SMA8" queryTableFieldId="37" dataDxfId="377"/>
    <tableColumn id="38" xr3:uid="{5859752E-775D-4DAF-847D-2AF623C620CF}" uniqueName="38" name="SMA20" queryTableFieldId="38" dataDxfId="376"/>
    <tableColumn id="39" xr3:uid="{4B844AA2-B625-4045-A054-0A9A64761648}" uniqueName="39" name="SMA20_STD" queryTableFieldId="39" dataDxfId="375"/>
    <tableColumn id="40" xr3:uid="{C388D137-6FFD-43E8-A98E-3F525A3ADB55}" uniqueName="40" name="SMA200" queryTableFieldId="40" dataDxfId="374"/>
    <tableColumn id="41" xr3:uid="{CA82A14E-AA0F-481D-A9DC-DA17F930AF26}" uniqueName="41" name="Bollinger_Sup" queryTableFieldId="41" dataDxfId="373"/>
    <tableColumn id="42" xr3:uid="{E6661B14-A433-49F1-8A79-914E716133C7}" uniqueName="42" name="Bollinger_Inf" queryTableFieldId="42" dataDxfId="372"/>
    <tableColumn id="1" xr3:uid="{9014B380-CF3D-42C5-8FC9-69341319CE8E}" uniqueName="1" name="Bollinger_Sup%" queryTableFieldId="87" dataDxfId="371"/>
    <tableColumn id="88" xr3:uid="{760646A5-A181-4F56-9339-20E4C55DC84F}" uniqueName="88" name="Bollinger_Inf%" queryTableFieldId="88" dataDxfId="370"/>
    <tableColumn id="43" xr3:uid="{63250B17-0F76-44B9-9FAB-E8A60040A260}" uniqueName="43" name="Bollinger_Spread" queryTableFieldId="43" dataDxfId="369"/>
    <tableColumn id="44" xr3:uid="{AA1139AF-22E9-4A57-A576-E08DCF5543D8}" uniqueName="44" name="Bollinger_Spread_Trend5" queryTableFieldId="44" dataDxfId="368"/>
    <tableColumn id="45" xr3:uid="{5E9BEE56-87E3-4062-8CB4-7422E8D70AFD}" uniqueName="45" name="Bollinger_Spread_Trend14" queryTableFieldId="45" dataDxfId="367"/>
    <tableColumn id="46" xr3:uid="{E72BA104-21FF-4D52-8915-2A64BF2189F6}" uniqueName="46" name="IFR_2" queryTableFieldId="46" dataDxfId="366"/>
    <tableColumn id="47" xr3:uid="{26A2DE48-BF63-40F7-A614-D54C6EFB18B8}" uniqueName="47" name="IFR" queryTableFieldId="47" dataDxfId="365"/>
    <tableColumn id="48" xr3:uid="{ABF88F51-A1B1-426A-AFE9-AC529E982DFE}" uniqueName="48" name="IFR_Trend5" queryTableFieldId="48" dataDxfId="364"/>
    <tableColumn id="49" xr3:uid="{5EB3AA42-5C47-42D3-92C0-69F4FEED5253}" uniqueName="49" name="IFR_Trend14" queryTableFieldId="49" dataDxfId="363"/>
    <tableColumn id="50" xr3:uid="{97F6D926-8AA3-447A-BD63-57965D55B256}" uniqueName="50" name="EMA9" queryTableFieldId="50" dataDxfId="362"/>
    <tableColumn id="90" xr3:uid="{6C7149AE-8044-4BE0-8D49-B11A0F660033}" uniqueName="90" name="EMA9%" queryTableFieldId="92" dataDxfId="361"/>
    <tableColumn id="51" xr3:uid="{07850D6E-F0AE-4D05-AE67-06D89F009586}" uniqueName="51" name="EMA9_Trend9" queryTableFieldId="51" dataDxfId="360"/>
    <tableColumn id="52" xr3:uid="{33D16B8B-3F64-4650-B80A-160BACA02A6F}" uniqueName="52" name="EMA12" queryTableFieldId="52" dataDxfId="359"/>
    <tableColumn id="53" xr3:uid="{46076ECE-690C-4332-A6D7-834FBE282EE5}" uniqueName="53" name="EMA21" queryTableFieldId="53" dataDxfId="358"/>
    <tableColumn id="89" xr3:uid="{71222E24-BC6C-4AA7-986B-15CEC66253A3}" uniqueName="89" name="EMA21%" queryTableFieldId="99" dataDxfId="357"/>
    <tableColumn id="54" xr3:uid="{761BC794-F0E7-4246-9154-E01ED0A46FE4}" uniqueName="54" name="EMA26" queryTableFieldId="54" dataDxfId="356"/>
    <tableColumn id="55" xr3:uid="{E5C8692B-A623-4892-9F48-7C4A20E6C432}" uniqueName="55" name="EMA50" queryTableFieldId="55" dataDxfId="355"/>
    <tableColumn id="91" xr3:uid="{DEC7523F-D780-404E-9FF7-BFB7381E03A5}" uniqueName="91" name="EMA50%" queryTableFieldId="93" dataDxfId="354"/>
    <tableColumn id="56" xr3:uid="{2E4F9FCB-B3E8-4014-B261-B216161BC799}" uniqueName="56" name="EMA50_Trend14" queryTableFieldId="56" dataDxfId="353"/>
    <tableColumn id="57" xr3:uid="{FEAA87E1-5A35-495E-9143-228E9E9E848C}" uniqueName="57" name="EMA200" queryTableFieldId="57" dataDxfId="352"/>
    <tableColumn id="92" xr3:uid="{722386D2-2C2F-4890-945E-4E265DCBA359}" uniqueName="92" name="EMA200%" queryTableFieldId="94" dataDxfId="351"/>
    <tableColumn id="58" xr3:uid="{A6BF3CF6-28D9-4CA4-B641-3778031817EC}" uniqueName="58" name="MACD" queryTableFieldId="58" dataDxfId="350"/>
    <tableColumn id="59" xr3:uid="{1B618ACF-6FE8-48B7-95D3-E49D852AC0E3}" uniqueName="59" name="MACD_Signal" queryTableFieldId="59" dataDxfId="349"/>
    <tableColumn id="60" xr3:uid="{ED48AB27-B962-4B18-AD0E-09A6D94E159C}" uniqueName="60" name="MACD_Hist" queryTableFieldId="60" dataDxfId="348"/>
    <tableColumn id="61" xr3:uid="{A6E35D72-33ED-48FA-9C31-2ECFCD46EB6D}" uniqueName="61" name="MACD_Hist_Trend5" queryTableFieldId="61" dataDxfId="347"/>
    <tableColumn id="62" xr3:uid="{4B6006CA-A224-43F8-BFFB-1601C8CB01EE}" uniqueName="62" name="MACD_Hist_Trend14" queryTableFieldId="62" dataDxfId="346"/>
    <tableColumn id="63" xr3:uid="{989C28F5-1CFB-407D-9C49-A901C1DCE1DB}" uniqueName="63" name="SMA9_VOLUME" queryTableFieldId="63" dataDxfId="345"/>
    <tableColumn id="64" xr3:uid="{6B4062C5-A8D4-43CD-9199-E085BA7726AD}" uniqueName="64" name="SMA20_VOLUME" queryTableFieldId="64" dataDxfId="344"/>
    <tableColumn id="65" xr3:uid="{51D32C11-32BE-460B-BC75-69CF5339C3BD}" uniqueName="65" name="SMA200_VOLUME" queryTableFieldId="65" dataDxfId="343"/>
    <tableColumn id="102" xr3:uid="{1F8FA9E0-F1CD-41C8-92E4-E6E87969C2E7}" uniqueName="102" name="SMA9_VOLUME%" queryTableFieldId="117"/>
    <tableColumn id="103" xr3:uid="{9C077CFA-FD38-4CDA-9844-7C892C090331}" uniqueName="103" name="SMA20_VOLUME%" queryTableFieldId="118"/>
    <tableColumn id="66" xr3:uid="{EFC81DD8-10A0-4345-9434-962977B6738B}" uniqueName="66" name="STOCHASTIC_K_FAST" queryTableFieldId="66" dataDxfId="342"/>
    <tableColumn id="67" xr3:uid="{22590FA9-7601-485C-9C86-A1BDE0F84E54}" uniqueName="67" name="STOCHASTIC_D_FAST" queryTableFieldId="67" dataDxfId="341"/>
    <tableColumn id="68" xr3:uid="{C765DA23-6198-4321-A391-38F1637D2AA3}" uniqueName="68" name="STOCHASTIC_K_SLOW" queryTableFieldId="68" dataDxfId="340"/>
    <tableColumn id="69" xr3:uid="{73D6B338-8353-4629-A835-B6B2020A451E}" uniqueName="69" name="STOCHASTIC_D_SLOW" queryTableFieldId="69" dataDxfId="339"/>
    <tableColumn id="70" xr3:uid="{E13C6B22-BAA6-4D2F-9A21-D610B2237267}" uniqueName="70" name="STO_Trend5" queryTableFieldId="70" dataDxfId="338"/>
    <tableColumn id="71" xr3:uid="{BF5E40E1-B763-4722-A77F-5CEB61D47A4F}" uniqueName="71" name="STO_Trend14" queryTableFieldId="71" dataDxfId="337"/>
    <tableColumn id="72" xr3:uid="{06AFA10B-23FE-4903-BE41-B0F88AF29DD2}" uniqueName="72" name="#Romp_EMA9_Bear" queryTableFieldId="72" dataDxfId="336"/>
    <tableColumn id="73" xr3:uid="{968944E0-57DA-447E-BC6D-3EAF58DE2FE7}" uniqueName="73" name="#Romp_EMA9_Bull" queryTableFieldId="73" dataDxfId="335"/>
    <tableColumn id="94" xr3:uid="{2E107C5B-833A-4C25-930E-381B2468569D}" uniqueName="94" name="#Romp_EMA9" queryTableFieldId="100" dataDxfId="334"/>
    <tableColumn id="74" xr3:uid="{5921D04F-1C2B-411E-B5F3-CCAA0C7F6AE6}" uniqueName="74" name="#Romp_EMA50_Bear" queryTableFieldId="74" dataDxfId="333"/>
    <tableColumn id="75" xr3:uid="{CCCF3D03-51CC-44FB-8DAB-F00D215968F2}" uniqueName="75" name="#Romp_EMA50_Bull" queryTableFieldId="75" dataDxfId="332"/>
    <tableColumn id="95" xr3:uid="{7560D4DB-3482-462B-A506-F9D2C5E72361}" uniqueName="95" name="#Romp_EMA50" queryTableFieldId="101" dataDxfId="331"/>
    <tableColumn id="76" xr3:uid="{187DCEFF-2B00-4539-A2C5-E5B329F7887C}" uniqueName="76" name="#MACDH_Change_Bear" queryTableFieldId="76" dataDxfId="330"/>
    <tableColumn id="77" xr3:uid="{853F1A1A-CB02-437C-A761-143A119C0010}" uniqueName="77" name="#MACDH_Change_Bull" queryTableFieldId="77" dataDxfId="329"/>
    <tableColumn id="96" xr3:uid="{1E4FDBFF-6A42-48D1-ADAD-E0412373496B}" uniqueName="96" name="#MACDH_Change" queryTableFieldId="102" dataDxfId="328"/>
    <tableColumn id="78" xr3:uid="{3714DCC9-2742-4CED-8E93-5115B5361514}" uniqueName="78" name="#EMA9_Change_Bear" queryTableFieldId="78" dataDxfId="327"/>
    <tableColumn id="79" xr3:uid="{DF54954F-00F8-4624-8C6A-CDDF15241C9B}" uniqueName="79" name="#EMA9_Change_Bull" queryTableFieldId="79" dataDxfId="326"/>
    <tableColumn id="97" xr3:uid="{AB33206E-75A1-4016-B762-43119B3384ED}" uniqueName="97" name="#EMA9_Change" queryTableFieldId="103" dataDxfId="325"/>
    <tableColumn id="80" xr3:uid="{874B9B7C-E2F8-48B7-89F6-950934034D4B}" uniqueName="80" name="#Trend_Divergence_Bear" queryTableFieldId="80" dataDxfId="324"/>
    <tableColumn id="81" xr3:uid="{34D09674-04DB-46D5-A211-A0921A304B3F}" uniqueName="81" name="#Trend_Divergence_Bull" queryTableFieldId="81" dataDxfId="323"/>
    <tableColumn id="98" xr3:uid="{A9B1E621-D8BA-4205-A832-7BEFF54D45B2}" uniqueName="98" name="#Trend_Divergence" queryTableFieldId="104" dataDxfId="322"/>
    <tableColumn id="82" xr3:uid="{1F3B7206-9BA8-4CCE-B164-712666B29A00}" uniqueName="82" name="#IFR2_Bear" queryTableFieldId="82" dataDxfId="321"/>
    <tableColumn id="83" xr3:uid="{A1A120F6-0A65-481D-8A45-95FC43407333}" uniqueName="83" name="#IFR2_Bull" queryTableFieldId="83" dataDxfId="320"/>
    <tableColumn id="99" xr3:uid="{82E6D46B-F89A-40D3-B22D-AD4AEE884DC7}" uniqueName="99" name="#IFR2" queryTableFieldId="105" dataDxfId="319"/>
    <tableColumn id="84" xr3:uid="{B577ECDF-AA57-4E8A-BAEC-359F87738D01}" uniqueName="84" name="#AGULHADA" queryTableFieldId="84" dataDxfId="318"/>
    <tableColumn id="85" xr3:uid="{5754F55A-99CC-41CF-9203-18B16046AE17}" uniqueName="85" name="#INSIDEBAR_Bull" queryTableFieldId="85" dataDxfId="317"/>
    <tableColumn id="100" xr3:uid="{511C51C5-1A11-4A37-BCF2-3E0417036E1A}" uniqueName="100" name="#INSIDEBAR_Bear" queryTableFieldId="106" dataDxfId="316"/>
    <tableColumn id="101" xr3:uid="{939768E9-AFE5-480B-A682-92268BA24D54}" uniqueName="101" name="#INSIDEBAR" queryTableFieldId="107" dataDxfId="315"/>
    <tableColumn id="86" xr3:uid="{37CF5A5D-695E-4264-9358-FE4F4B427364}" uniqueName="86" name="Stock" queryTableFieldId="86" dataDxfId="314"/>
    <tableColumn id="93" xr3:uid="{E6F83E0B-BA1A-4A9E-998E-95416D92DBCE}" uniqueName="93" name="PATTERN" queryTableFieldId="98" dataDxfId="313">
      <calculatedColumnFormula>VLOOKUP(bovespa_diario_last_date_1[[#This Row],[Stock]],Patterns!H:J,2,0)</calculatedColumnFormula>
    </tableColumn>
    <tableColumn id="104" xr3:uid="{96107A51-FF55-46D6-B71C-70829FB44425}" uniqueName="104" name="PATTERN SIGNAL" queryTableFieldId="121" dataDxfId="312">
      <calculatedColumnFormula>IF(RIGHT(bovespa_diario_last_date_1[[#This Row],[PATTERN]],4)="Bull",1,IF(RIGHT(bovespa_diario_last_date_1[[#This Row],[PATTERN]],4)="Bear",-1,0))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DAFF2B-14F7-4BC4-A063-73B57231C150}" name="bovespa_candles_last_date" displayName="bovespa_candles_last_date" ref="A1:J153" tableType="queryTable" totalsRowShown="0">
  <autoFilter ref="A1:J153" xr:uid="{057F8868-9C26-485B-877A-FA01FF74D742}"/>
  <tableColumns count="10">
    <tableColumn id="11" xr3:uid="{9F453A7B-5E43-4341-AA22-80C1A0CDDAE1}" uniqueName="11" name="Date" queryTableFieldId="1" dataDxfId="311"/>
    <tableColumn id="2" xr3:uid="{4FA18492-C1B0-4287-B61F-D85EAE655E94}" uniqueName="2" name="High" queryTableFieldId="2"/>
    <tableColumn id="3" xr3:uid="{6FCCCF8F-C5E7-48CB-A81F-410676BDF184}" uniqueName="3" name="Low" queryTableFieldId="3"/>
    <tableColumn id="4" xr3:uid="{9DD8707C-39D8-4918-93E5-5B05AACA5414}" uniqueName="4" name="Open" queryTableFieldId="4"/>
    <tableColumn id="5" xr3:uid="{78D3D86A-7967-44BA-99BC-6B638593E1EF}" uniqueName="5" name="Close" queryTableFieldId="5"/>
    <tableColumn id="6" xr3:uid="{3C505F53-665A-4EFE-AEAF-87C7FAB651E6}" uniqueName="6" name="Volume" queryTableFieldId="6"/>
    <tableColumn id="7" xr3:uid="{31452997-8192-4F3D-B03D-07C503DB9914}" uniqueName="7" name="Adj Close" queryTableFieldId="7"/>
    <tableColumn id="8" xr3:uid="{A951A573-D98F-4BEC-8CCD-5B2B04DC1AEA}" uniqueName="8" name="Stock" queryTableFieldId="8" dataDxfId="310"/>
    <tableColumn id="9" xr3:uid="{F7FA578E-F827-42C1-868B-1A1C0349060C}" uniqueName="9" name="candlestick_pattern" queryTableFieldId="9" dataDxfId="309"/>
    <tableColumn id="10" xr3:uid="{D6AF61C7-D08F-4E3F-AFC7-2DF184D0B857}" uniqueName="10" name="candlestick_match_count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D97AF-F2B0-4308-BF25-F383BEF834DF}">
  <sheetPr codeName="Planilha1"/>
  <dimension ref="A1:CZ147"/>
  <sheetViews>
    <sheetView topLeftCell="A115" workbookViewId="0">
      <selection sqref="A1:CZ155"/>
    </sheetView>
  </sheetViews>
  <sheetFormatPr defaultRowHeight="15" x14ac:dyDescent="0.25"/>
  <cols>
    <col min="1" max="1" width="10.7109375" bestFit="1" customWidth="1"/>
    <col min="2" max="5" width="10.5703125" style="2" bestFit="1" customWidth="1"/>
    <col min="6" max="6" width="13.7109375" style="2" bestFit="1" customWidth="1"/>
    <col min="7" max="7" width="11.5703125" style="2" bestFit="1" customWidth="1"/>
    <col min="8" max="8" width="11.140625" style="2" bestFit="1" customWidth="1"/>
    <col min="9" max="9" width="12" style="2" bestFit="1" customWidth="1"/>
    <col min="10" max="10" width="12.28515625" style="2" bestFit="1" customWidth="1"/>
    <col min="11" max="11" width="8.5703125" style="2" bestFit="1" customWidth="1"/>
    <col min="12" max="12" width="16.85546875" style="2" bestFit="1" customWidth="1"/>
    <col min="13" max="13" width="17" style="2" bestFit="1" customWidth="1"/>
    <col min="14" max="14" width="16.140625" style="2" bestFit="1" customWidth="1"/>
    <col min="15" max="15" width="25.42578125" style="2" bestFit="1" customWidth="1"/>
    <col min="16" max="16" width="25.5703125" style="2" bestFit="1" customWidth="1"/>
    <col min="17" max="17" width="17.7109375" style="2" bestFit="1" customWidth="1"/>
    <col min="18" max="18" width="18.5703125" style="2" bestFit="1" customWidth="1"/>
    <col min="19" max="19" width="17.7109375" style="2" bestFit="1" customWidth="1"/>
    <col min="20" max="21" width="9.42578125" style="2" bestFit="1" customWidth="1"/>
    <col min="22" max="23" width="10.42578125" style="2" bestFit="1" customWidth="1"/>
    <col min="24" max="24" width="17" style="2" bestFit="1" customWidth="1"/>
    <col min="25" max="25" width="24.42578125" style="2" bestFit="1" customWidth="1"/>
    <col min="26" max="26" width="14.42578125" style="2" bestFit="1" customWidth="1"/>
    <col min="27" max="27" width="15.42578125" style="2" bestFit="1" customWidth="1"/>
    <col min="28" max="28" width="14.28515625" style="2" bestFit="1" customWidth="1"/>
    <col min="29" max="29" width="15.42578125" style="2" bestFit="1" customWidth="1"/>
    <col min="30" max="30" width="9" style="2" bestFit="1" customWidth="1"/>
    <col min="31" max="31" width="16.28515625" style="2" bestFit="1" customWidth="1"/>
    <col min="32" max="32" width="17.28515625" style="2" bestFit="1" customWidth="1"/>
    <col min="33" max="33" width="8.7109375" style="2" bestFit="1" customWidth="1"/>
    <col min="34" max="34" width="16" style="2" bestFit="1" customWidth="1"/>
    <col min="35" max="35" width="17" style="2" bestFit="1" customWidth="1"/>
    <col min="36" max="38" width="10.5703125" style="2" bestFit="1" customWidth="1"/>
    <col min="39" max="39" width="13.7109375" style="2" bestFit="1" customWidth="1"/>
    <col min="40" max="40" width="10.5703125" style="2" bestFit="1" customWidth="1"/>
    <col min="41" max="41" width="15.7109375" style="2" bestFit="1" customWidth="1"/>
    <col min="42" max="42" width="14.7109375" style="2" bestFit="1" customWidth="1"/>
    <col min="43" max="43" width="17.28515625" style="2" bestFit="1" customWidth="1"/>
    <col min="44" max="44" width="16.42578125" style="2" bestFit="1" customWidth="1"/>
    <col min="45" max="45" width="18.5703125" style="2" bestFit="1" customWidth="1"/>
    <col min="46" max="46" width="26" style="2" bestFit="1" customWidth="1"/>
    <col min="47" max="47" width="27" style="2" bestFit="1" customWidth="1"/>
    <col min="48" max="48" width="8" style="2" bestFit="1" customWidth="1"/>
    <col min="49" max="49" width="6.5703125" style="2" bestFit="1" customWidth="1"/>
    <col min="50" max="50" width="13.140625" style="2" bestFit="1" customWidth="1"/>
    <col min="51" max="51" width="14.140625" style="2" bestFit="1" customWidth="1"/>
    <col min="52" max="52" width="10.5703125" style="2" bestFit="1" customWidth="1"/>
    <col min="53" max="53" width="10" style="2" bestFit="1" customWidth="1"/>
    <col min="54" max="54" width="15.7109375" style="2" bestFit="1" customWidth="1"/>
    <col min="55" max="56" width="10.5703125" style="2" bestFit="1" customWidth="1"/>
    <col min="57" max="57" width="11" style="2" bestFit="1" customWidth="1"/>
    <col min="58" max="59" width="10.5703125" style="2" bestFit="1" customWidth="1"/>
    <col min="60" max="60" width="11" style="2" bestFit="1" customWidth="1"/>
    <col min="61" max="61" width="17.7109375" style="2" bestFit="1" customWidth="1"/>
    <col min="62" max="62" width="10.5703125" style="2" bestFit="1" customWidth="1"/>
    <col min="63" max="63" width="12" style="2" bestFit="1" customWidth="1"/>
    <col min="64" max="64" width="9.28515625" style="2" bestFit="1" customWidth="1"/>
    <col min="65" max="65" width="15.140625" style="2" bestFit="1" customWidth="1"/>
    <col min="66" max="66" width="13.28515625" style="2" bestFit="1" customWidth="1"/>
    <col min="67" max="67" width="20.7109375" style="2" bestFit="1" customWidth="1"/>
    <col min="68" max="68" width="21.7109375" style="2" bestFit="1" customWidth="1"/>
    <col min="69" max="69" width="17.42578125" style="2" bestFit="1" customWidth="1"/>
    <col min="70" max="70" width="18.42578125" style="2" bestFit="1" customWidth="1"/>
    <col min="71" max="71" width="19.5703125" style="2" bestFit="1" customWidth="1"/>
    <col min="72" max="72" width="19" bestFit="1" customWidth="1"/>
    <col min="73" max="73" width="20.140625" bestFit="1" customWidth="1"/>
    <col min="74" max="74" width="21.85546875" bestFit="1" customWidth="1"/>
    <col min="75" max="75" width="22" bestFit="1" customWidth="1"/>
    <col min="76" max="76" width="22.85546875" bestFit="1" customWidth="1"/>
    <col min="77" max="77" width="23" bestFit="1" customWidth="1"/>
    <col min="78" max="78" width="13.85546875" bestFit="1" customWidth="1"/>
    <col min="79" max="79" width="14.85546875" bestFit="1" customWidth="1"/>
    <col min="80" max="80" width="20.85546875" bestFit="1" customWidth="1"/>
    <col min="81" max="81" width="20.28515625" bestFit="1" customWidth="1"/>
    <col min="82" max="82" width="15.7109375" bestFit="1" customWidth="1"/>
    <col min="83" max="83" width="21.85546875" bestFit="1" customWidth="1"/>
    <col min="84" max="84" width="21.28515625" bestFit="1" customWidth="1"/>
    <col min="85" max="85" width="16.7109375" bestFit="1" customWidth="1"/>
    <col min="86" max="86" width="24.140625" bestFit="1" customWidth="1"/>
    <col min="87" max="87" width="23.42578125" bestFit="1" customWidth="1"/>
    <col min="88" max="88" width="18.85546875" bestFit="1" customWidth="1"/>
    <col min="89" max="89" width="22.28515625" bestFit="1" customWidth="1"/>
    <col min="90" max="90" width="21.7109375" bestFit="1" customWidth="1"/>
    <col min="91" max="91" width="17.140625" bestFit="1" customWidth="1"/>
    <col min="92" max="92" width="25.85546875" bestFit="1" customWidth="1"/>
    <col min="93" max="93" width="25.28515625" bestFit="1" customWidth="1"/>
    <col min="94" max="94" width="20.7109375" bestFit="1" customWidth="1"/>
    <col min="95" max="95" width="13" bestFit="1" customWidth="1"/>
    <col min="96" max="96" width="12.42578125" bestFit="1" customWidth="1"/>
    <col min="97" max="97" width="8" bestFit="1" customWidth="1"/>
    <col min="98" max="98" width="14.42578125" bestFit="1" customWidth="1"/>
    <col min="99" max="99" width="18.28515625" bestFit="1" customWidth="1"/>
    <col min="100" max="100" width="18.85546875" bestFit="1" customWidth="1"/>
    <col min="101" max="101" width="13.7109375" bestFit="1" customWidth="1"/>
    <col min="102" max="102" width="8.140625" customWidth="1"/>
    <col min="103" max="103" width="27.85546875" bestFit="1" customWidth="1"/>
    <col min="104" max="104" width="18.42578125" style="5" bestFit="1" customWidth="1"/>
  </cols>
  <sheetData>
    <row r="1" spans="1:104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t="s">
        <v>203</v>
      </c>
      <c r="AR1" t="s">
        <v>204</v>
      </c>
      <c r="AS1" s="2" t="s">
        <v>42</v>
      </c>
      <c r="AT1" s="2" t="s">
        <v>43</v>
      </c>
      <c r="AU1" s="2" t="s">
        <v>44</v>
      </c>
      <c r="AV1" s="2" t="s">
        <v>45</v>
      </c>
      <c r="AW1" s="2" t="s">
        <v>46</v>
      </c>
      <c r="AX1" s="2" t="s">
        <v>47</v>
      </c>
      <c r="AY1" s="2" t="s">
        <v>48</v>
      </c>
      <c r="AZ1" s="2" t="s">
        <v>49</v>
      </c>
      <c r="BA1" t="s">
        <v>258</v>
      </c>
      <c r="BB1" s="2" t="s">
        <v>50</v>
      </c>
      <c r="BC1" s="2" t="s">
        <v>51</v>
      </c>
      <c r="BD1" s="2" t="s">
        <v>52</v>
      </c>
      <c r="BE1" t="s">
        <v>272</v>
      </c>
      <c r="BF1" s="2" t="s">
        <v>53</v>
      </c>
      <c r="BG1" s="2" t="s">
        <v>54</v>
      </c>
      <c r="BH1" t="s">
        <v>259</v>
      </c>
      <c r="BI1" s="2" t="s">
        <v>55</v>
      </c>
      <c r="BJ1" s="2" t="s">
        <v>56</v>
      </c>
      <c r="BK1" t="s">
        <v>260</v>
      </c>
      <c r="BL1" s="2" t="s">
        <v>57</v>
      </c>
      <c r="BM1" s="2" t="s">
        <v>58</v>
      </c>
      <c r="BN1" s="2" t="s">
        <v>59</v>
      </c>
      <c r="BO1" s="2" t="s">
        <v>60</v>
      </c>
      <c r="BP1" s="2" t="s">
        <v>61</v>
      </c>
      <c r="BQ1" s="2" t="s">
        <v>62</v>
      </c>
      <c r="BR1" s="2" t="s">
        <v>63</v>
      </c>
      <c r="BS1" s="2" t="s">
        <v>64</v>
      </c>
      <c r="BT1" t="s">
        <v>297</v>
      </c>
      <c r="BU1" t="s">
        <v>298</v>
      </c>
      <c r="BV1" s="2" t="s">
        <v>65</v>
      </c>
      <c r="BW1" s="2" t="s">
        <v>66</v>
      </c>
      <c r="BX1" s="2" t="s">
        <v>67</v>
      </c>
      <c r="BY1" s="2" t="s">
        <v>68</v>
      </c>
      <c r="BZ1" s="2" t="s">
        <v>69</v>
      </c>
      <c r="CA1" s="2" t="s">
        <v>70</v>
      </c>
      <c r="CB1" s="1" t="s">
        <v>71</v>
      </c>
      <c r="CC1" s="1" t="s">
        <v>72</v>
      </c>
      <c r="CD1" t="s">
        <v>273</v>
      </c>
      <c r="CE1" s="1" t="s">
        <v>73</v>
      </c>
      <c r="CF1" s="1" t="s">
        <v>74</v>
      </c>
      <c r="CG1" t="s">
        <v>274</v>
      </c>
      <c r="CH1" s="1" t="s">
        <v>75</v>
      </c>
      <c r="CI1" s="1" t="s">
        <v>76</v>
      </c>
      <c r="CJ1" t="s">
        <v>275</v>
      </c>
      <c r="CK1" s="1" t="s">
        <v>77</v>
      </c>
      <c r="CL1" s="1" t="s">
        <v>78</v>
      </c>
      <c r="CM1" t="s">
        <v>276</v>
      </c>
      <c r="CN1" s="1" t="s">
        <v>79</v>
      </c>
      <c r="CO1" s="1" t="s">
        <v>80</v>
      </c>
      <c r="CP1" t="s">
        <v>277</v>
      </c>
      <c r="CQ1" s="1" t="s">
        <v>81</v>
      </c>
      <c r="CR1" s="1" t="s">
        <v>82</v>
      </c>
      <c r="CS1" t="s">
        <v>278</v>
      </c>
      <c r="CT1" s="1" t="s">
        <v>83</v>
      </c>
      <c r="CU1" s="1" t="s">
        <v>84</v>
      </c>
      <c r="CV1" t="s">
        <v>279</v>
      </c>
      <c r="CW1" t="s">
        <v>280</v>
      </c>
      <c r="CX1" s="1" t="s">
        <v>85</v>
      </c>
      <c r="CY1" t="s">
        <v>261</v>
      </c>
      <c r="CZ1" s="5" t="s">
        <v>306</v>
      </c>
    </row>
    <row r="2" spans="1:104" x14ac:dyDescent="0.25">
      <c r="A2" s="4">
        <v>44491</v>
      </c>
      <c r="B2" s="10">
        <v>107749</v>
      </c>
      <c r="C2" s="10">
        <v>102854</v>
      </c>
      <c r="D2" s="10">
        <v>107714</v>
      </c>
      <c r="E2" s="10">
        <v>106296</v>
      </c>
      <c r="F2" s="10">
        <v>21165700</v>
      </c>
      <c r="G2" s="10">
        <v>106296</v>
      </c>
      <c r="H2" s="10">
        <v>107735</v>
      </c>
      <c r="I2" s="10">
        <v>-1.3356847821042406E-2</v>
      </c>
      <c r="J2" s="10">
        <v>-1.3446852867189786E-2</v>
      </c>
      <c r="K2" s="10">
        <v>1418</v>
      </c>
      <c r="L2" s="10">
        <v>3442</v>
      </c>
      <c r="M2" s="10">
        <v>35</v>
      </c>
      <c r="N2" s="10">
        <v>1.3251717209476193E-2</v>
      </c>
      <c r="O2" s="10">
        <v>2.4273624823695346</v>
      </c>
      <c r="P2" s="10">
        <v>2.4682651622002821E-2</v>
      </c>
      <c r="Q2" s="10">
        <v>0.21325698436848814</v>
      </c>
      <c r="R2" s="10">
        <v>0.24623303221088846</v>
      </c>
      <c r="S2" s="10">
        <v>-3.9556800731678207E-2</v>
      </c>
      <c r="T2" s="10">
        <v>-85.512956953667413</v>
      </c>
      <c r="U2" s="10">
        <v>-79.643304243750748</v>
      </c>
      <c r="V2" s="10">
        <v>-43.672278188009322</v>
      </c>
      <c r="W2" s="10">
        <v>-33.483666208250689</v>
      </c>
      <c r="X2" s="10">
        <v>-6537</v>
      </c>
      <c r="Y2" s="10">
        <v>383.11111111111109</v>
      </c>
      <c r="Z2" s="10">
        <v>-21165700</v>
      </c>
      <c r="AA2" s="10">
        <v>166115500</v>
      </c>
      <c r="AB2" s="10">
        <v>-84.767989862304361</v>
      </c>
      <c r="AC2" s="10">
        <v>24.933926415050774</v>
      </c>
      <c r="AD2" s="10">
        <v>35.793318005601428</v>
      </c>
      <c r="AE2" s="10">
        <v>75.683468341509453</v>
      </c>
      <c r="AF2" s="10">
        <v>-85.296791923984117</v>
      </c>
      <c r="AG2" s="10">
        <v>2647.9285714285716</v>
      </c>
      <c r="AH2" s="10">
        <v>82.072392690273546</v>
      </c>
      <c r="AI2" s="10">
        <v>13.98312580147754</v>
      </c>
      <c r="AJ2" s="10">
        <v>108272.33333333333</v>
      </c>
      <c r="AK2" s="10">
        <v>111400.875</v>
      </c>
      <c r="AL2" s="10">
        <v>111509.6</v>
      </c>
      <c r="AM2" s="10">
        <v>2123.3729721700843</v>
      </c>
      <c r="AN2" s="10">
        <v>119558.86500000001</v>
      </c>
      <c r="AO2" s="10">
        <v>115756.34594434018</v>
      </c>
      <c r="AP2" s="10">
        <v>107262.85405565983</v>
      </c>
      <c r="AQ2" s="10">
        <v>-8.9000018291753039E-2</v>
      </c>
      <c r="AR2" s="10">
        <v>-9.0958649023465694E-3</v>
      </c>
      <c r="AS2" s="10">
        <v>7.6168257160642211E-2</v>
      </c>
      <c r="AT2" s="10">
        <v>67.946317005189684</v>
      </c>
      <c r="AU2" s="10">
        <v>-44.63878716577495</v>
      </c>
      <c r="AV2" s="10">
        <v>7.6247790147202323</v>
      </c>
      <c r="AW2" s="10">
        <v>29.357822185589427</v>
      </c>
      <c r="AX2" s="10">
        <v>-88.650011840578543</v>
      </c>
      <c r="AY2" s="10">
        <v>-66.344996158268813</v>
      </c>
      <c r="AZ2" s="10">
        <v>110324.46868703049</v>
      </c>
      <c r="BA2" s="10">
        <v>-3.7898591546535021E-2</v>
      </c>
      <c r="BB2" s="10">
        <v>-44.785405422492211</v>
      </c>
      <c r="BC2" s="10">
        <v>110765.02808820952</v>
      </c>
      <c r="BD2" s="10">
        <v>111691.36813160792</v>
      </c>
      <c r="BE2" s="10">
        <v>-5.0757960145329233E-2</v>
      </c>
      <c r="BF2" s="10">
        <v>112194.034219787</v>
      </c>
      <c r="BG2" s="10">
        <v>114540.61326227299</v>
      </c>
      <c r="BH2" s="10">
        <v>-7.7562779994289469E-2</v>
      </c>
      <c r="BI2" s="10">
        <v>-56.49669577156223</v>
      </c>
      <c r="BJ2" s="10">
        <v>116680.44043360719</v>
      </c>
      <c r="BK2" s="10">
        <v>-9.7693614375020596E-2</v>
      </c>
      <c r="BL2" s="10">
        <v>-1429.0061315774801</v>
      </c>
      <c r="BM2" s="10">
        <v>-1133.9766065932304</v>
      </c>
      <c r="BN2" s="10">
        <v>-295.02952498424975</v>
      </c>
      <c r="BO2" s="10">
        <v>-86.969085409835131</v>
      </c>
      <c r="BP2" s="10">
        <v>-2.315182956294124</v>
      </c>
      <c r="BQ2" s="10">
        <v>12987466.666666666</v>
      </c>
      <c r="BR2" s="10">
        <v>12212050</v>
      </c>
      <c r="BS2" s="10">
        <v>9422360.5</v>
      </c>
      <c r="BT2">
        <v>0.62970196907788023</v>
      </c>
      <c r="BU2">
        <v>0.73318157066176437</v>
      </c>
      <c r="BV2" s="10">
        <v>28.509898119771389</v>
      </c>
      <c r="BW2" s="10">
        <v>29.690288743337234</v>
      </c>
      <c r="BX2" s="10">
        <v>29.690288743337234</v>
      </c>
      <c r="BY2" s="10">
        <v>39.41778216316191</v>
      </c>
      <c r="BZ2" s="10">
        <v>-89.032052677238354</v>
      </c>
      <c r="CA2" s="10">
        <v>84.92015676394621</v>
      </c>
      <c r="CB2" s="10">
        <v>0</v>
      </c>
      <c r="CC2" s="10">
        <v>0</v>
      </c>
      <c r="CD2" s="10">
        <v>0</v>
      </c>
      <c r="CE2" s="10">
        <v>0</v>
      </c>
      <c r="CF2" s="10">
        <v>0</v>
      </c>
      <c r="CG2" s="10">
        <v>0</v>
      </c>
      <c r="CH2" s="10">
        <v>0</v>
      </c>
      <c r="CI2" s="10">
        <v>0</v>
      </c>
      <c r="CJ2" s="10">
        <v>0</v>
      </c>
      <c r="CK2" s="10">
        <v>0</v>
      </c>
      <c r="CL2" s="10">
        <v>0</v>
      </c>
      <c r="CM2" s="10">
        <v>0</v>
      </c>
      <c r="CN2" s="10">
        <v>0</v>
      </c>
      <c r="CO2" s="10">
        <v>0</v>
      </c>
      <c r="CP2" s="10">
        <v>0</v>
      </c>
      <c r="CQ2" s="10">
        <v>0</v>
      </c>
      <c r="CR2" s="10">
        <v>0</v>
      </c>
      <c r="CS2" s="10">
        <v>0</v>
      </c>
      <c r="CT2" s="10">
        <v>0</v>
      </c>
      <c r="CU2" s="10">
        <v>0</v>
      </c>
      <c r="CV2" s="10">
        <v>0</v>
      </c>
      <c r="CW2" s="10">
        <v>0</v>
      </c>
      <c r="CX2" s="10" t="s">
        <v>86</v>
      </c>
      <c r="CY2" s="1" t="str">
        <f>VLOOKUP(bovespa_diario_last_date_1[[#This Row],[Stock]],Patterns!H:J,2,0)</f>
        <v>CDL3WHITESOLDIERS_Bull</v>
      </c>
      <c r="CZ2" s="5">
        <f>IF(RIGHT(bovespa_diario_last_date_1[[#This Row],[PATTERN]],4)="Bull",1,IF(RIGHT(bovespa_diario_last_date_1[[#This Row],[PATTERN]],4)="Bear",-1,0))</f>
        <v>1</v>
      </c>
    </row>
    <row r="3" spans="1:104" x14ac:dyDescent="0.25">
      <c r="A3" s="4">
        <v>44491</v>
      </c>
      <c r="B3" s="10">
        <v>77.099998474121094</v>
      </c>
      <c r="C3" s="10">
        <v>74.639999389648438</v>
      </c>
      <c r="D3" s="10">
        <v>74.669998168945313</v>
      </c>
      <c r="E3" s="10">
        <v>76.080001831054688</v>
      </c>
      <c r="F3" s="10">
        <v>35142600</v>
      </c>
      <c r="G3" s="10">
        <v>76.080001831054688</v>
      </c>
      <c r="H3" s="10">
        <v>75.160003662109375</v>
      </c>
      <c r="I3" s="10">
        <v>1.2240528527396988E-2</v>
      </c>
      <c r="J3" s="10">
        <v>1.2166219035181742E-2</v>
      </c>
      <c r="K3" s="10">
        <v>1.410003662109375</v>
      </c>
      <c r="L3" s="10">
        <v>2.9998779296875E-2</v>
      </c>
      <c r="M3" s="10">
        <v>1.0199966430664063</v>
      </c>
      <c r="N3" s="10">
        <v>1.8706516246890546E-2</v>
      </c>
      <c r="O3" s="10">
        <v>2.1275674739735514E-2</v>
      </c>
      <c r="P3" s="10">
        <v>0.72339999567127677</v>
      </c>
      <c r="Q3" s="10">
        <v>0.33279470872183547</v>
      </c>
      <c r="R3" s="10">
        <v>0.3257893236669625</v>
      </c>
      <c r="S3" s="10">
        <v>-4.2209028362914083E-2</v>
      </c>
      <c r="T3" s="10">
        <v>-81.319968587453445</v>
      </c>
      <c r="U3" s="10">
        <v>-75.573739172594429</v>
      </c>
      <c r="V3" s="10">
        <v>1.0596608610600551</v>
      </c>
      <c r="W3" s="10">
        <v>26.890712830717153</v>
      </c>
      <c r="X3" s="10">
        <v>-3.7699966430664063</v>
      </c>
      <c r="Y3" s="10">
        <v>1.970001220703125</v>
      </c>
      <c r="Z3" s="10">
        <v>35142600</v>
      </c>
      <c r="AA3" s="10">
        <v>580699000</v>
      </c>
      <c r="AB3" s="10">
        <v>-80.198985141252336</v>
      </c>
      <c r="AC3" s="10">
        <v>57.145739473184648</v>
      </c>
      <c r="AD3" s="10">
        <v>30.84021158567861</v>
      </c>
      <c r="AE3" s="10">
        <v>-73.789427439423974</v>
      </c>
      <c r="AF3" s="10">
        <v>-85.529451043987393</v>
      </c>
      <c r="AG3" s="10">
        <v>2.3528573172433034</v>
      </c>
      <c r="AH3" s="10">
        <v>20.38069148751141</v>
      </c>
      <c r="AI3" s="10">
        <v>-82.214984650919817</v>
      </c>
      <c r="AJ3" s="10">
        <v>75.970001220703125</v>
      </c>
      <c r="AK3" s="10">
        <v>78.238749504089355</v>
      </c>
      <c r="AL3" s="10">
        <v>77.690999603271479</v>
      </c>
      <c r="AM3" s="10">
        <v>2.0908195318513032</v>
      </c>
      <c r="AN3" s="10">
        <v>90.383345489501949</v>
      </c>
      <c r="AO3" s="10">
        <v>81.872638666974083</v>
      </c>
      <c r="AP3" s="10">
        <v>73.509360539568874</v>
      </c>
      <c r="AQ3" s="10">
        <v>-7.6138757840499033E-2</v>
      </c>
      <c r="AR3" s="10">
        <v>3.378865969528036E-2</v>
      </c>
      <c r="AS3" s="10">
        <v>0.10764796656127773</v>
      </c>
      <c r="AT3" s="10">
        <v>17.257422306613051</v>
      </c>
      <c r="AU3" s="10">
        <v>-84.315642295829321</v>
      </c>
      <c r="AV3" s="10">
        <v>32.562128886571898</v>
      </c>
      <c r="AW3" s="10">
        <v>39.585951006361022</v>
      </c>
      <c r="AX3" s="10">
        <v>-87.096680720137726</v>
      </c>
      <c r="AY3" s="10">
        <v>54.082519114542499</v>
      </c>
      <c r="AZ3" s="10">
        <v>77.62548413370304</v>
      </c>
      <c r="BA3" s="10">
        <v>-2.0313909903423664E-2</v>
      </c>
      <c r="BB3" s="10">
        <v>-28.811793220132067</v>
      </c>
      <c r="BC3" s="10">
        <v>77.872400531197769</v>
      </c>
      <c r="BD3" s="10">
        <v>78.788179899947991</v>
      </c>
      <c r="BE3" s="10">
        <v>-3.559645115292133E-2</v>
      </c>
      <c r="BF3" s="10">
        <v>79.509371567889289</v>
      </c>
      <c r="BG3" s="10">
        <v>83.31531098332465</v>
      </c>
      <c r="BH3" s="10">
        <v>-9.5101327262542473E-2</v>
      </c>
      <c r="BI3" s="10">
        <v>-58.644767597111901</v>
      </c>
      <c r="BJ3" s="10">
        <v>84.92172163532986</v>
      </c>
      <c r="BK3" s="10">
        <v>-0.11621608295842756</v>
      </c>
      <c r="BL3" s="10">
        <v>-1.63697103669152</v>
      </c>
      <c r="BM3" s="10">
        <v>-1.865062573185323</v>
      </c>
      <c r="BN3" s="10">
        <v>0.22809153649380298</v>
      </c>
      <c r="BO3" s="10">
        <v>-88.330892758959422</v>
      </c>
      <c r="BP3" s="10">
        <v>69.479918306242922</v>
      </c>
      <c r="BQ3" s="10">
        <v>28147877.777777776</v>
      </c>
      <c r="BR3" s="10">
        <v>30043905</v>
      </c>
      <c r="BS3" s="10">
        <v>27587736.5</v>
      </c>
      <c r="BT3">
        <v>0.24849909742554122</v>
      </c>
      <c r="BU3">
        <v>0.16970813214860048</v>
      </c>
      <c r="BV3" s="10">
        <v>30.837481894284419</v>
      </c>
      <c r="BW3" s="10">
        <v>27.522456600554175</v>
      </c>
      <c r="BX3" s="10">
        <v>27.522456600554175</v>
      </c>
      <c r="BY3" s="10">
        <v>37.809841795163017</v>
      </c>
      <c r="BZ3" s="10">
        <v>-83.151149848003186</v>
      </c>
      <c r="CA3" s="10">
        <v>80.733722419549565</v>
      </c>
      <c r="CB3" s="10">
        <v>0</v>
      </c>
      <c r="CC3" s="10">
        <v>0</v>
      </c>
      <c r="CD3" s="10">
        <v>0</v>
      </c>
      <c r="CE3" s="10">
        <v>0</v>
      </c>
      <c r="CF3" s="10">
        <v>0</v>
      </c>
      <c r="CG3" s="10">
        <v>0</v>
      </c>
      <c r="CH3" s="10">
        <v>0</v>
      </c>
      <c r="CI3" s="10">
        <v>0</v>
      </c>
      <c r="CJ3" s="10">
        <v>0</v>
      </c>
      <c r="CK3" s="10">
        <v>0</v>
      </c>
      <c r="CL3" s="10">
        <v>0</v>
      </c>
      <c r="CM3" s="10">
        <v>0</v>
      </c>
      <c r="CN3" s="10">
        <v>0</v>
      </c>
      <c r="CO3" s="10">
        <v>0</v>
      </c>
      <c r="CP3" s="10">
        <v>0</v>
      </c>
      <c r="CQ3" s="10">
        <v>0</v>
      </c>
      <c r="CR3" s="10">
        <v>0</v>
      </c>
      <c r="CS3" s="10">
        <v>0</v>
      </c>
      <c r="CT3" s="10">
        <v>0</v>
      </c>
      <c r="CU3" s="10">
        <v>0</v>
      </c>
      <c r="CV3" s="10">
        <v>0</v>
      </c>
      <c r="CW3" s="10">
        <v>0</v>
      </c>
      <c r="CX3" s="10" t="s">
        <v>87</v>
      </c>
      <c r="CY3" s="1" t="str">
        <f>VLOOKUP(bovespa_diario_last_date_1[[#This Row],[Stock]],Patterns!H:J,2,0)</f>
        <v>CDLHARAMI_Bull</v>
      </c>
      <c r="CZ3" s="5">
        <f>IF(RIGHT(bovespa_diario_last_date_1[[#This Row],[PATTERN]],4)="Bull",1,IF(RIGHT(bovespa_diario_last_date_1[[#This Row],[PATTERN]],4)="Bear",-1,0))</f>
        <v>1</v>
      </c>
    </row>
    <row r="4" spans="1:104" x14ac:dyDescent="0.25">
      <c r="A4" s="4">
        <v>44491</v>
      </c>
      <c r="B4" s="10">
        <v>7.1500000953674316</v>
      </c>
      <c r="C4" s="10">
        <v>6.3000001907348633</v>
      </c>
      <c r="D4" s="10">
        <v>6.8600001335144043</v>
      </c>
      <c r="E4" s="10">
        <v>6.9699997901916504</v>
      </c>
      <c r="F4" s="10">
        <v>87038300</v>
      </c>
      <c r="G4" s="10">
        <v>6.9699997901916504</v>
      </c>
      <c r="H4" s="10">
        <v>6.9200000762939453</v>
      </c>
      <c r="I4" s="10">
        <v>7.2253921020883904E-3</v>
      </c>
      <c r="J4" s="10">
        <v>7.1994140160890055E-3</v>
      </c>
      <c r="K4" s="10">
        <v>0.10999965667724609</v>
      </c>
      <c r="L4" s="10">
        <v>0.55999994277954102</v>
      </c>
      <c r="M4" s="10">
        <v>0.18000030517578125</v>
      </c>
      <c r="N4" s="10">
        <v>1.5907398016495326E-2</v>
      </c>
      <c r="O4" s="10">
        <v>5.0909244600886057</v>
      </c>
      <c r="P4" s="10">
        <v>1.6363715179941565</v>
      </c>
      <c r="Q4" s="10">
        <v>0.48990300403671327</v>
      </c>
      <c r="R4" s="10">
        <v>0.61267125406446599</v>
      </c>
      <c r="S4" s="10">
        <v>-0.11122566031493747</v>
      </c>
      <c r="T4" s="10">
        <v>-83.338279766659184</v>
      </c>
      <c r="U4" s="10">
        <v>-75.481352049782814</v>
      </c>
      <c r="V4" s="10">
        <v>-53.810118652525929</v>
      </c>
      <c r="W4" s="10">
        <v>-43.355272635654153</v>
      </c>
      <c r="X4" s="10">
        <v>-1.0900006294250488</v>
      </c>
      <c r="Y4" s="10">
        <v>-0.18222215440538195</v>
      </c>
      <c r="Z4" s="10">
        <v>87038300</v>
      </c>
      <c r="AA4" s="10">
        <v>1499131300</v>
      </c>
      <c r="AB4" s="10">
        <v>-71.770137261231056</v>
      </c>
      <c r="AC4" s="10">
        <v>20.896824419897865</v>
      </c>
      <c r="AD4" s="10">
        <v>37.635312698309257</v>
      </c>
      <c r="AE4" s="10">
        <v>76.774579615559688</v>
      </c>
      <c r="AF4" s="10">
        <v>-83.420085251008658</v>
      </c>
      <c r="AG4" s="10">
        <v>0.50857162475585938</v>
      </c>
      <c r="AH4" s="10">
        <v>72.052020018549811</v>
      </c>
      <c r="AI4" s="10">
        <v>-42.573548890608834</v>
      </c>
      <c r="AJ4" s="10">
        <v>7.1366666158040362</v>
      </c>
      <c r="AK4" s="10">
        <v>7.7175000905990601</v>
      </c>
      <c r="AL4" s="10">
        <v>7.8770000457763674</v>
      </c>
      <c r="AM4" s="10">
        <v>0.39268447814908897</v>
      </c>
      <c r="AN4" s="10">
        <v>12.415900008678436</v>
      </c>
      <c r="AO4" s="10">
        <v>8.662369002074545</v>
      </c>
      <c r="AP4" s="10">
        <v>7.0916310894781898</v>
      </c>
      <c r="AQ4" s="10">
        <v>-0.24280764172538954</v>
      </c>
      <c r="AR4" s="10">
        <v>-1.7450689088642706E-2</v>
      </c>
      <c r="AS4" s="10">
        <v>0.19940813805613494</v>
      </c>
      <c r="AT4" s="10">
        <v>73.492507500177595</v>
      </c>
      <c r="AU4" s="10">
        <v>-66.945620864347759</v>
      </c>
      <c r="AV4" s="10">
        <v>13.785642153643366</v>
      </c>
      <c r="AW4" s="10">
        <v>30.295612375327437</v>
      </c>
      <c r="AX4" s="10">
        <v>-87.953091670213723</v>
      </c>
      <c r="AY4" s="10">
        <v>-63.375619813284608</v>
      </c>
      <c r="AZ4" s="10">
        <v>7.572447867480955</v>
      </c>
      <c r="BA4" s="10">
        <v>-8.6434446976179816E-2</v>
      </c>
      <c r="BB4" s="10">
        <v>-54.824801655740195</v>
      </c>
      <c r="BC4" s="10">
        <v>7.6842358960416144</v>
      </c>
      <c r="BD4" s="10">
        <v>7.9991803369387204</v>
      </c>
      <c r="BE4" s="10">
        <v>-0.14765861947303893</v>
      </c>
      <c r="BF4" s="10">
        <v>8.1959282426749525</v>
      </c>
      <c r="BG4" s="10">
        <v>9.186124430540028</v>
      </c>
      <c r="BH4" s="10">
        <v>-0.31795189484323383</v>
      </c>
      <c r="BI4" s="10">
        <v>-71.666647550019263</v>
      </c>
      <c r="BJ4" s="10">
        <v>12.104657613608154</v>
      </c>
      <c r="BK4" s="10">
        <v>-0.73667976728523243</v>
      </c>
      <c r="BL4" s="10">
        <v>-0.51169234663333807</v>
      </c>
      <c r="BM4" s="10">
        <v>-0.50699346664129807</v>
      </c>
      <c r="BN4" s="10">
        <v>-4.6988799920399948E-3</v>
      </c>
      <c r="BO4" s="10">
        <v>-85.123163929885791</v>
      </c>
      <c r="BP4" s="10">
        <v>-20.396720477463901</v>
      </c>
      <c r="BQ4" s="10">
        <v>44067211.111111112</v>
      </c>
      <c r="BR4" s="10">
        <v>39377230</v>
      </c>
      <c r="BS4" s="10">
        <v>41343120</v>
      </c>
      <c r="BT4">
        <v>0.97512612678259902</v>
      </c>
      <c r="BU4">
        <v>1.2103713237320148</v>
      </c>
      <c r="BV4" s="10">
        <v>32.367135180359654</v>
      </c>
      <c r="BW4" s="10">
        <v>15.726355449411663</v>
      </c>
      <c r="BX4" s="10">
        <v>15.726355449411663</v>
      </c>
      <c r="BY4" s="10">
        <v>24.48152353653666</v>
      </c>
      <c r="BZ4" s="10">
        <v>-88.555372248621367</v>
      </c>
      <c r="CA4" s="10">
        <v>85.366681207044579</v>
      </c>
      <c r="CB4" s="10">
        <v>0</v>
      </c>
      <c r="CC4" s="10">
        <v>0</v>
      </c>
      <c r="CD4" s="10">
        <v>0</v>
      </c>
      <c r="CE4" s="10">
        <v>0</v>
      </c>
      <c r="CF4" s="10">
        <v>0</v>
      </c>
      <c r="CG4" s="10">
        <v>0</v>
      </c>
      <c r="CH4" s="10">
        <v>-1</v>
      </c>
      <c r="CI4" s="10">
        <v>0</v>
      </c>
      <c r="CJ4" s="10">
        <v>-1</v>
      </c>
      <c r="CK4" s="10">
        <v>0</v>
      </c>
      <c r="CL4" s="10">
        <v>0</v>
      </c>
      <c r="CM4" s="10">
        <v>0</v>
      </c>
      <c r="CN4" s="10">
        <v>0</v>
      </c>
      <c r="CO4" s="10">
        <v>0</v>
      </c>
      <c r="CP4" s="10">
        <v>0</v>
      </c>
      <c r="CQ4" s="10">
        <v>0</v>
      </c>
      <c r="CR4" s="10">
        <v>0</v>
      </c>
      <c r="CS4" s="10">
        <v>0</v>
      </c>
      <c r="CT4" s="10">
        <v>0</v>
      </c>
      <c r="CU4" s="10">
        <v>0</v>
      </c>
      <c r="CV4" s="10">
        <v>0</v>
      </c>
      <c r="CW4" s="10">
        <v>0</v>
      </c>
      <c r="CX4" s="10" t="s">
        <v>351</v>
      </c>
      <c r="CY4" s="1" t="e">
        <f>VLOOKUP(bovespa_diario_last_date_1[[#This Row],[Stock]],Patterns!H:J,2,0)</f>
        <v>#N/A</v>
      </c>
      <c r="CZ4" s="5" t="e">
        <f>IF(RIGHT(bovespa_diario_last_date_1[[#This Row],[PATTERN]],4)="Bull",1,IF(RIGHT(bovespa_diario_last_date_1[[#This Row],[PATTERN]],4)="Bear",-1,0))</f>
        <v>#N/A</v>
      </c>
    </row>
    <row r="5" spans="1:104" x14ac:dyDescent="0.25">
      <c r="A5" s="4">
        <v>44491</v>
      </c>
      <c r="B5" s="10">
        <v>27.760000228881836</v>
      </c>
      <c r="C5" s="10">
        <v>25.770000457763672</v>
      </c>
      <c r="D5" s="10">
        <v>27.100000381469727</v>
      </c>
      <c r="E5" s="10">
        <v>27.180000305175781</v>
      </c>
      <c r="F5" s="10">
        <v>138384700</v>
      </c>
      <c r="G5" s="10">
        <v>27.180000305175781</v>
      </c>
      <c r="H5" s="10">
        <v>27.450000762939453</v>
      </c>
      <c r="I5" s="10">
        <v>-9.8360819766607488E-3</v>
      </c>
      <c r="J5" s="10">
        <v>-9.8847757983749982E-3</v>
      </c>
      <c r="K5" s="10">
        <v>7.9999923706054688E-2</v>
      </c>
      <c r="L5" s="10">
        <v>1.3299999237060547</v>
      </c>
      <c r="M5" s="10">
        <v>0.57999992370605469</v>
      </c>
      <c r="N5" s="10">
        <v>2.9476758546076085E-3</v>
      </c>
      <c r="O5" s="10">
        <v>16.625014901175405</v>
      </c>
      <c r="P5" s="10">
        <v>7.2500059604701619</v>
      </c>
      <c r="Q5" s="10">
        <v>0.45341783178309414</v>
      </c>
      <c r="R5" s="10">
        <v>0.34210663469611252</v>
      </c>
      <c r="S5" s="10">
        <v>-5.0925311212957784E-2</v>
      </c>
      <c r="T5" s="10">
        <v>-85.131975394447323</v>
      </c>
      <c r="U5" s="10">
        <v>-82.20998102414066</v>
      </c>
      <c r="V5" s="10">
        <v>-66.498900012990944</v>
      </c>
      <c r="W5" s="10">
        <v>57.422553753448604</v>
      </c>
      <c r="X5" s="10">
        <v>-1.9400005340576172</v>
      </c>
      <c r="Y5" s="10">
        <v>0.51888910929361975</v>
      </c>
      <c r="Z5" s="10">
        <v>-138384700</v>
      </c>
      <c r="AA5" s="10">
        <v>1479838000</v>
      </c>
      <c r="AB5" s="10">
        <v>-83.728875700497952</v>
      </c>
      <c r="AC5" s="10">
        <v>-42.759992973314375</v>
      </c>
      <c r="AD5" s="10">
        <v>20.963836364936899</v>
      </c>
      <c r="AE5" s="10">
        <v>-83.539272651626789</v>
      </c>
      <c r="AF5" s="10">
        <v>53.066172586935643</v>
      </c>
      <c r="AG5" s="10">
        <v>0.96571404593331478</v>
      </c>
      <c r="AH5" s="10">
        <v>83.326104017306776</v>
      </c>
      <c r="AI5" s="10">
        <v>-31.580662327396162</v>
      </c>
      <c r="AJ5" s="10">
        <v>27.71000035603841</v>
      </c>
      <c r="AK5" s="10">
        <v>28.687500238418579</v>
      </c>
      <c r="AL5" s="10">
        <v>28.35050001144409</v>
      </c>
      <c r="AM5" s="10">
        <v>1.0082006610001801</v>
      </c>
      <c r="AN5" s="10">
        <v>25.150558423995971</v>
      </c>
      <c r="AO5" s="10">
        <v>30.366901333444449</v>
      </c>
      <c r="AP5" s="10">
        <v>26.334098689443731</v>
      </c>
      <c r="AQ5" s="10">
        <v>-0.11725169214445516</v>
      </c>
      <c r="AR5" s="10">
        <v>3.1122207734889835E-2</v>
      </c>
      <c r="AS5" s="10">
        <v>0.14224802533898234</v>
      </c>
      <c r="AT5" s="10">
        <v>-81.53575595237929</v>
      </c>
      <c r="AU5" s="10">
        <v>-38.606049449778112</v>
      </c>
      <c r="AV5" s="10">
        <v>15.946593636827444</v>
      </c>
      <c r="AW5" s="10">
        <v>39.026690363916877</v>
      </c>
      <c r="AX5" s="10">
        <v>-88.531224420827741</v>
      </c>
      <c r="AY5" s="10">
        <v>-86.088382558152176</v>
      </c>
      <c r="AZ5" s="10">
        <v>28.275111960027647</v>
      </c>
      <c r="BA5" s="10">
        <v>-4.0291083243414398E-2</v>
      </c>
      <c r="BB5" s="10">
        <v>-36.790901482147611</v>
      </c>
      <c r="BC5" s="10">
        <v>28.307164889021234</v>
      </c>
      <c r="BD5" s="10">
        <v>28.102584357512342</v>
      </c>
      <c r="BE5" s="10">
        <v>-3.394348940315782E-2</v>
      </c>
      <c r="BF5" s="10">
        <v>27.960069718828915</v>
      </c>
      <c r="BG5" s="10">
        <v>27.425108065989399</v>
      </c>
      <c r="BH5" s="10">
        <v>-9.0179454768785448E-3</v>
      </c>
      <c r="BI5" s="10">
        <v>71.518433699792041</v>
      </c>
      <c r="BJ5" s="10">
        <v>25.369562793802874</v>
      </c>
      <c r="BK5" s="10">
        <v>6.6609179214326658E-2</v>
      </c>
      <c r="BL5" s="10">
        <v>0.34709517019231839</v>
      </c>
      <c r="BM5" s="10">
        <v>0.58082481983738088</v>
      </c>
      <c r="BN5" s="10">
        <v>-0.23372964964506249</v>
      </c>
      <c r="BO5" s="10">
        <v>-86.973827622477742</v>
      </c>
      <c r="BP5" s="10">
        <v>-82.987090761794946</v>
      </c>
      <c r="BQ5" s="10">
        <v>84132855.555555552</v>
      </c>
      <c r="BR5" s="10">
        <v>81562810</v>
      </c>
      <c r="BS5" s="10">
        <v>79421149</v>
      </c>
      <c r="BT5">
        <v>0.64483541044937276</v>
      </c>
      <c r="BU5">
        <v>0.69666420271690011</v>
      </c>
      <c r="BV5" s="10">
        <v>31.68539797803848</v>
      </c>
      <c r="BW5" s="10">
        <v>31.047623047257634</v>
      </c>
      <c r="BX5" s="10">
        <v>31.047623047257634</v>
      </c>
      <c r="BY5" s="10">
        <v>38.666362397082032</v>
      </c>
      <c r="BZ5" s="10">
        <v>-87.804406907977821</v>
      </c>
      <c r="CA5" s="10">
        <v>-82.029473950786283</v>
      </c>
      <c r="CB5" s="10">
        <v>0</v>
      </c>
      <c r="CC5" s="10">
        <v>0</v>
      </c>
      <c r="CD5" s="10">
        <v>0</v>
      </c>
      <c r="CE5" s="10">
        <v>1</v>
      </c>
      <c r="CF5" s="10">
        <v>0</v>
      </c>
      <c r="CG5" s="10">
        <v>1</v>
      </c>
      <c r="CH5" s="10">
        <v>0</v>
      </c>
      <c r="CI5" s="10">
        <v>0</v>
      </c>
      <c r="CJ5" s="10">
        <v>0</v>
      </c>
      <c r="CK5" s="10">
        <v>0</v>
      </c>
      <c r="CL5" s="10">
        <v>0</v>
      </c>
      <c r="CM5" s="10">
        <v>0</v>
      </c>
      <c r="CN5" s="10">
        <v>0</v>
      </c>
      <c r="CO5" s="10">
        <v>0</v>
      </c>
      <c r="CP5" s="10">
        <v>0</v>
      </c>
      <c r="CQ5" s="10">
        <v>0</v>
      </c>
      <c r="CR5" s="10">
        <v>0</v>
      </c>
      <c r="CS5" s="10">
        <v>0</v>
      </c>
      <c r="CT5" s="10">
        <v>0</v>
      </c>
      <c r="CU5" s="10">
        <v>0</v>
      </c>
      <c r="CV5" s="10">
        <v>0</v>
      </c>
      <c r="CW5" s="10">
        <v>0</v>
      </c>
      <c r="CX5" s="10" t="s">
        <v>89</v>
      </c>
      <c r="CY5" s="1" t="str">
        <f>VLOOKUP(bovespa_diario_last_date_1[[#This Row],[Stock]],Patterns!H:J,2,0)</f>
        <v>NO_PATTERN</v>
      </c>
      <c r="CZ5" s="5">
        <f>IF(RIGHT(bovespa_diario_last_date_1[[#This Row],[PATTERN]],4)="Bull",1,IF(RIGHT(bovespa_diario_last_date_1[[#This Row],[PATTERN]],4)="Bear",-1,0))</f>
        <v>0</v>
      </c>
    </row>
    <row r="6" spans="1:104" x14ac:dyDescent="0.25">
      <c r="A6" s="4">
        <v>44491</v>
      </c>
      <c r="B6" s="10">
        <v>21.180000305175781</v>
      </c>
      <c r="C6" s="10">
        <v>19.709999084472656</v>
      </c>
      <c r="D6" s="10">
        <v>21.180000305175781</v>
      </c>
      <c r="E6" s="10">
        <v>20.450000762939453</v>
      </c>
      <c r="F6" s="10">
        <v>77992500</v>
      </c>
      <c r="G6" s="10">
        <v>20.450000762939453</v>
      </c>
      <c r="H6" s="10">
        <v>21.25</v>
      </c>
      <c r="I6" s="10">
        <v>-3.7647022920496376E-2</v>
      </c>
      <c r="J6" s="10">
        <v>-3.8373975574063114E-2</v>
      </c>
      <c r="K6" s="10">
        <v>0.72999954223632813</v>
      </c>
      <c r="L6" s="10">
        <v>0.74000167846679688</v>
      </c>
      <c r="M6" s="10">
        <v>0</v>
      </c>
      <c r="N6" s="10">
        <v>3.5070839467041995E-2</v>
      </c>
      <c r="O6" s="10">
        <v>1.0137015650719829</v>
      </c>
      <c r="P6" s="10">
        <v>0</v>
      </c>
      <c r="Q6" s="10">
        <v>0.34419568457497229</v>
      </c>
      <c r="R6" s="10">
        <v>0.41739061399500538</v>
      </c>
      <c r="S6" s="10">
        <v>-1.2633711404111115E-2</v>
      </c>
      <c r="T6" s="10">
        <v>-79.505951098445564</v>
      </c>
      <c r="U6" s="10">
        <v>65.100812823719536</v>
      </c>
      <c r="V6" s="10">
        <v>30.323555681217012</v>
      </c>
      <c r="W6" s="10">
        <v>31.617492016913985</v>
      </c>
      <c r="X6" s="10">
        <v>-0.39999961853027344</v>
      </c>
      <c r="Y6" s="10">
        <v>5.1569620768229164E-2</v>
      </c>
      <c r="Z6" s="10">
        <v>-77992500</v>
      </c>
      <c r="AA6" s="10">
        <v>418804420</v>
      </c>
      <c r="AB6" s="10">
        <v>-83.138451998148028</v>
      </c>
      <c r="AC6" s="10">
        <v>-53.593719891657564</v>
      </c>
      <c r="AD6" s="10">
        <v>18.61558770569167</v>
      </c>
      <c r="AE6" s="10">
        <v>46.444122467569983</v>
      </c>
      <c r="AF6" s="10">
        <v>-80.002951685042532</v>
      </c>
      <c r="AG6" s="10">
        <v>0.79364504132952007</v>
      </c>
      <c r="AH6" s="10">
        <v>76.011701539939281</v>
      </c>
      <c r="AI6" s="10">
        <v>2.7865130684320689E-2</v>
      </c>
      <c r="AJ6" s="10">
        <v>21.133333841959637</v>
      </c>
      <c r="AK6" s="10">
        <v>20.992500066757202</v>
      </c>
      <c r="AL6" s="10">
        <v>20.872466087341309</v>
      </c>
      <c r="AM6" s="10">
        <v>0.43813719908885462</v>
      </c>
      <c r="AN6" s="10">
        <v>23.237235879898073</v>
      </c>
      <c r="AO6" s="10">
        <v>21.748740485519019</v>
      </c>
      <c r="AP6" s="10">
        <v>19.996191689163599</v>
      </c>
      <c r="AQ6" s="10">
        <v>-6.3508052524536257E-2</v>
      </c>
      <c r="AR6" s="10">
        <v>2.2191151923977952E-2</v>
      </c>
      <c r="AS6" s="10">
        <v>8.3964625407550772E-2</v>
      </c>
      <c r="AT6" s="10">
        <v>-79.833128324077336</v>
      </c>
      <c r="AU6" s="10">
        <v>-63.690626409589605</v>
      </c>
      <c r="AV6" s="10">
        <v>28.775854130756741</v>
      </c>
      <c r="AW6" s="10">
        <v>44.120871356094099</v>
      </c>
      <c r="AX6" s="10">
        <v>-86.849637526239803</v>
      </c>
      <c r="AY6" s="10">
        <v>61.388492185946141</v>
      </c>
      <c r="AZ6" s="10">
        <v>20.986117708236197</v>
      </c>
      <c r="BA6" s="10">
        <v>-2.6215986567018745E-2</v>
      </c>
      <c r="BB6" s="10">
        <v>55.005838872379293</v>
      </c>
      <c r="BC6" s="10">
        <v>20.965299073504731</v>
      </c>
      <c r="BD6" s="10">
        <v>20.987485151188032</v>
      </c>
      <c r="BE6" s="10">
        <v>-2.6282854190530697E-2</v>
      </c>
      <c r="BF6" s="10">
        <v>21.058771072174498</v>
      </c>
      <c r="BG6" s="10">
        <v>21.612130606272196</v>
      </c>
      <c r="BH6" s="10">
        <v>-5.6827863079536613E-2</v>
      </c>
      <c r="BI6" s="10">
        <v>-47.359985666416627</v>
      </c>
      <c r="BJ6" s="10">
        <v>22.699716148963088</v>
      </c>
      <c r="BK6" s="10">
        <v>-0.11001052821967053</v>
      </c>
      <c r="BL6" s="10">
        <v>-9.3471998669766521E-2</v>
      </c>
      <c r="BM6" s="10">
        <v>-0.18317817627758562</v>
      </c>
      <c r="BN6" s="10">
        <v>8.9706177607819099E-2</v>
      </c>
      <c r="BO6" s="10">
        <v>-76.457218162813319</v>
      </c>
      <c r="BP6" s="10">
        <v>-57.210872459705911</v>
      </c>
      <c r="BQ6" s="10">
        <v>50237122.222222224</v>
      </c>
      <c r="BR6" s="10">
        <v>53840195</v>
      </c>
      <c r="BS6" s="10">
        <v>44647022.149999999</v>
      </c>
      <c r="BT6">
        <v>0.55248741468515639</v>
      </c>
      <c r="BU6">
        <v>0.44859245030594708</v>
      </c>
      <c r="BV6" s="10">
        <v>34.418658292081403</v>
      </c>
      <c r="BW6" s="10">
        <v>65.822801418549361</v>
      </c>
      <c r="BX6" s="10">
        <v>65.822801418549361</v>
      </c>
      <c r="BY6" s="10">
        <v>73.32776078868973</v>
      </c>
      <c r="BZ6" s="10">
        <v>87.698024654897409</v>
      </c>
      <c r="CA6" s="10">
        <v>-72.644962552435373</v>
      </c>
      <c r="CB6" s="10">
        <v>1</v>
      </c>
      <c r="CC6" s="10">
        <v>0</v>
      </c>
      <c r="CD6" s="10">
        <v>1</v>
      </c>
      <c r="CE6" s="10">
        <v>0</v>
      </c>
      <c r="CF6" s="10">
        <v>0</v>
      </c>
      <c r="CG6" s="10">
        <v>0</v>
      </c>
      <c r="CH6" s="10">
        <v>0</v>
      </c>
      <c r="CI6" s="10">
        <v>0</v>
      </c>
      <c r="CJ6" s="10">
        <v>0</v>
      </c>
      <c r="CK6" s="10">
        <v>-1</v>
      </c>
      <c r="CL6" s="10">
        <v>0</v>
      </c>
      <c r="CM6" s="10">
        <v>-1</v>
      </c>
      <c r="CN6" s="10">
        <v>0</v>
      </c>
      <c r="CO6" s="10">
        <v>0</v>
      </c>
      <c r="CP6" s="10">
        <v>0</v>
      </c>
      <c r="CQ6" s="10">
        <v>0</v>
      </c>
      <c r="CR6" s="10">
        <v>0</v>
      </c>
      <c r="CS6" s="10">
        <v>0</v>
      </c>
      <c r="CT6" s="10">
        <v>0</v>
      </c>
      <c r="CU6" s="10">
        <v>0</v>
      </c>
      <c r="CV6" s="10">
        <v>0</v>
      </c>
      <c r="CW6" s="10">
        <v>0</v>
      </c>
      <c r="CX6" s="10" t="s">
        <v>90</v>
      </c>
      <c r="CY6" s="1" t="str">
        <f>VLOOKUP(bovespa_diario_last_date_1[[#This Row],[Stock]],Patterns!H:J,2,0)</f>
        <v>CDLCLOSINGMARUBOZU_Bull</v>
      </c>
      <c r="CZ6" s="5">
        <f>IF(RIGHT(bovespa_diario_last_date_1[[#This Row],[PATTERN]],4)="Bull",1,IF(RIGHT(bovespa_diario_last_date_1[[#This Row],[PATTERN]],4)="Bear",-1,0))</f>
        <v>1</v>
      </c>
    </row>
    <row r="7" spans="1:104" x14ac:dyDescent="0.25">
      <c r="A7" s="4">
        <v>44491</v>
      </c>
      <c r="B7" s="10">
        <v>24.270000457763672</v>
      </c>
      <c r="C7" s="10">
        <v>22.909999847412109</v>
      </c>
      <c r="D7" s="10">
        <v>24.120000839233398</v>
      </c>
      <c r="E7" s="10">
        <v>23.540000915527344</v>
      </c>
      <c r="F7" s="10">
        <v>93446400</v>
      </c>
      <c r="G7" s="10">
        <v>23.540000915527344</v>
      </c>
      <c r="H7" s="10">
        <v>24.479999542236328</v>
      </c>
      <c r="I7" s="10">
        <v>-3.8398637430003491E-2</v>
      </c>
      <c r="J7" s="10">
        <v>-3.9155298220088321E-2</v>
      </c>
      <c r="K7" s="10">
        <v>0.57999992370605469</v>
      </c>
      <c r="L7" s="10">
        <v>0.63000106811523438</v>
      </c>
      <c r="M7" s="10">
        <v>0.14999961853027344</v>
      </c>
      <c r="N7" s="10">
        <v>2.4339064303459397E-2</v>
      </c>
      <c r="O7" s="10">
        <v>1.0862088810110264</v>
      </c>
      <c r="P7" s="10">
        <v>0.25862006596796311</v>
      </c>
      <c r="Q7" s="10">
        <v>0.37819776006743716</v>
      </c>
      <c r="R7" s="10">
        <v>0.76796658721400368</v>
      </c>
      <c r="S7" s="10">
        <v>-3.9155298220087995E-2</v>
      </c>
      <c r="T7" s="10">
        <v>-82.064563524540119</v>
      </c>
      <c r="U7" s="10">
        <v>-20.374011303161584</v>
      </c>
      <c r="V7" s="10">
        <v>-39.270053336111474</v>
      </c>
      <c r="W7" s="10">
        <v>-82.516384734808753</v>
      </c>
      <c r="X7" s="10">
        <v>-1.1199989318847656</v>
      </c>
      <c r="Y7" s="10">
        <v>-2.1772549947102866</v>
      </c>
      <c r="Z7" s="10">
        <v>-93446400</v>
      </c>
      <c r="AA7" s="10">
        <v>19698800</v>
      </c>
      <c r="AB7" s="10">
        <v>-87.324184007399566</v>
      </c>
      <c r="AC7" s="10">
        <v>52.217542297334909</v>
      </c>
      <c r="AD7" s="10">
        <v>27.278589335067291</v>
      </c>
      <c r="AE7" s="10">
        <v>50.400104508432143</v>
      </c>
      <c r="AF7" s="10">
        <v>77.413248615907122</v>
      </c>
      <c r="AG7" s="10">
        <v>1.2114283697945731</v>
      </c>
      <c r="AH7" s="10">
        <v>72.790356665770133</v>
      </c>
      <c r="AI7" s="10">
        <v>-27.899097804460105</v>
      </c>
      <c r="AJ7" s="10">
        <v>24.336666742960613</v>
      </c>
      <c r="AK7" s="10">
        <v>24.430000066757202</v>
      </c>
      <c r="AL7" s="10">
        <v>25.813277626037596</v>
      </c>
      <c r="AM7" s="10">
        <v>2.0918428711680228</v>
      </c>
      <c r="AN7" s="10">
        <v>28.625099220275878</v>
      </c>
      <c r="AO7" s="10">
        <v>29.996963368373642</v>
      </c>
      <c r="AP7" s="10">
        <v>21.629591883701551</v>
      </c>
      <c r="AQ7" s="10">
        <v>-0.27429745971620534</v>
      </c>
      <c r="AR7" s="10">
        <v>8.1155860557577897E-2</v>
      </c>
      <c r="AS7" s="10">
        <v>0.32414990478512529</v>
      </c>
      <c r="AT7" s="10">
        <v>70.582860550015297</v>
      </c>
      <c r="AU7" s="10">
        <v>84.001740243214812</v>
      </c>
      <c r="AV7" s="10">
        <v>21.668303286611135</v>
      </c>
      <c r="AW7" s="10">
        <v>32.332435545479527</v>
      </c>
      <c r="AX7" s="10">
        <v>-80.192649527191676</v>
      </c>
      <c r="AY7" s="10">
        <v>77.374538878104232</v>
      </c>
      <c r="AZ7" s="10">
        <v>24.571205950921776</v>
      </c>
      <c r="BA7" s="10">
        <v>-4.3806499375037562E-2</v>
      </c>
      <c r="BB7" s="10">
        <v>-73.281199934379586</v>
      </c>
      <c r="BC7" s="10">
        <v>24.832290603452861</v>
      </c>
      <c r="BD7" s="10">
        <v>25.625948837312837</v>
      </c>
      <c r="BE7" s="10">
        <v>-8.8612907419624187E-2</v>
      </c>
      <c r="BF7" s="10">
        <v>26.01072895822513</v>
      </c>
      <c r="BG7" s="10">
        <v>27.255276691606603</v>
      </c>
      <c r="BH7" s="10">
        <v>-0.15782819165604225</v>
      </c>
      <c r="BI7" s="10">
        <v>-78.436998514367687</v>
      </c>
      <c r="BJ7" s="10">
        <v>28.324739201336772</v>
      </c>
      <c r="BK7" s="10">
        <v>-0.20325990228204885</v>
      </c>
      <c r="BL7" s="10">
        <v>-1.1784383547722683</v>
      </c>
      <c r="BM7" s="10">
        <v>-1.1596352063615063</v>
      </c>
      <c r="BN7" s="10">
        <v>-1.8803148410762027E-2</v>
      </c>
      <c r="BO7" s="10">
        <v>84.766248760406398</v>
      </c>
      <c r="BP7" s="10">
        <v>83.070996330112607</v>
      </c>
      <c r="BQ7" s="10">
        <v>49688633.333333336</v>
      </c>
      <c r="BR7" s="10">
        <v>48979135</v>
      </c>
      <c r="BS7" s="10">
        <v>37990608</v>
      </c>
      <c r="BT7">
        <v>0.88063936822573097</v>
      </c>
      <c r="BU7">
        <v>0.90788179497249177</v>
      </c>
      <c r="BV7" s="10">
        <v>25.506123208578284</v>
      </c>
      <c r="BW7" s="10">
        <v>18.956326193814849</v>
      </c>
      <c r="BX7" s="10">
        <v>18.956326193814849</v>
      </c>
      <c r="BY7" s="10">
        <v>16.152738981047623</v>
      </c>
      <c r="BZ7" s="10">
        <v>77.619338809479572</v>
      </c>
      <c r="CA7" s="10">
        <v>-84.674132461123989</v>
      </c>
      <c r="CB7" s="10">
        <v>0</v>
      </c>
      <c r="CC7" s="10">
        <v>0</v>
      </c>
      <c r="CD7" s="10">
        <v>0</v>
      </c>
      <c r="CE7" s="10">
        <v>0</v>
      </c>
      <c r="CF7" s="10">
        <v>0</v>
      </c>
      <c r="CG7" s="10">
        <v>0</v>
      </c>
      <c r="CH7" s="10">
        <v>-1</v>
      </c>
      <c r="CI7" s="10">
        <v>0</v>
      </c>
      <c r="CJ7" s="10">
        <v>-1</v>
      </c>
      <c r="CK7" s="10">
        <v>0</v>
      </c>
      <c r="CL7" s="10">
        <v>0</v>
      </c>
      <c r="CM7" s="10">
        <v>0</v>
      </c>
      <c r="CN7" s="10">
        <v>0</v>
      </c>
      <c r="CO7" s="10">
        <v>0</v>
      </c>
      <c r="CP7" s="10">
        <v>0</v>
      </c>
      <c r="CQ7" s="10">
        <v>0</v>
      </c>
      <c r="CR7" s="10">
        <v>0</v>
      </c>
      <c r="CS7" s="10">
        <v>0</v>
      </c>
      <c r="CT7" s="10">
        <v>0</v>
      </c>
      <c r="CU7" s="10">
        <v>0</v>
      </c>
      <c r="CV7" s="10">
        <v>0</v>
      </c>
      <c r="CW7" s="10">
        <v>0</v>
      </c>
      <c r="CX7" s="10" t="s">
        <v>91</v>
      </c>
      <c r="CY7" s="1" t="str">
        <f>VLOOKUP(bovespa_diario_last_date_1[[#This Row],[Stock]],Patterns!H:J,2,0)</f>
        <v>CDLBELTHOLD_Bull</v>
      </c>
      <c r="CZ7" s="5">
        <f>IF(RIGHT(bovespa_diario_last_date_1[[#This Row],[PATTERN]],4)="Bull",1,IF(RIGHT(bovespa_diario_last_date_1[[#This Row],[PATTERN]],4)="Bear",-1,0))</f>
        <v>1</v>
      </c>
    </row>
    <row r="8" spans="1:104" x14ac:dyDescent="0.25">
      <c r="A8" s="4">
        <v>44491</v>
      </c>
      <c r="B8" s="10">
        <v>12.949999809265137</v>
      </c>
      <c r="C8" s="10">
        <v>11.859999656677246</v>
      </c>
      <c r="D8" s="10">
        <v>12.350000381469727</v>
      </c>
      <c r="E8" s="10">
        <v>12.420000076293945</v>
      </c>
      <c r="F8" s="10">
        <v>69424400</v>
      </c>
      <c r="G8" s="10">
        <v>12.420000076293945</v>
      </c>
      <c r="H8" s="10">
        <v>12.409999847412109</v>
      </c>
      <c r="I8" s="10">
        <v>8.0582022601083381E-4</v>
      </c>
      <c r="J8" s="10">
        <v>8.054957272059421E-4</v>
      </c>
      <c r="K8" s="10">
        <v>6.999969482421875E-2</v>
      </c>
      <c r="L8" s="10">
        <v>0.49000072479248047</v>
      </c>
      <c r="M8" s="10">
        <v>0.52999973297119141</v>
      </c>
      <c r="N8" s="10">
        <v>5.6519736399341658E-3</v>
      </c>
      <c r="O8" s="10">
        <v>7.0000408719346048</v>
      </c>
      <c r="P8" s="10">
        <v>7.5714577656675752</v>
      </c>
      <c r="Q8" s="10">
        <v>0.41860598691764628</v>
      </c>
      <c r="R8" s="10">
        <v>0.57164675520854613</v>
      </c>
      <c r="S8" s="10">
        <v>-0.12188979243350491</v>
      </c>
      <c r="T8" s="10">
        <v>-84.820489624796139</v>
      </c>
      <c r="U8" s="10">
        <v>-80.700428592363821</v>
      </c>
      <c r="V8" s="10">
        <v>-66.046193448668234</v>
      </c>
      <c r="W8" s="10">
        <v>-61.967323172532176</v>
      </c>
      <c r="X8" s="10">
        <v>-2.5500001907348633</v>
      </c>
      <c r="Y8" s="10">
        <v>-0.46000003814697266</v>
      </c>
      <c r="Z8" s="10">
        <v>69424400</v>
      </c>
      <c r="AA8" s="10">
        <v>381306600</v>
      </c>
      <c r="AB8" s="10">
        <v>-83.544345779535121</v>
      </c>
      <c r="AC8" s="10">
        <v>-67.088927472959867</v>
      </c>
      <c r="AD8" s="10">
        <v>46.767351059618122</v>
      </c>
      <c r="AE8" s="10">
        <v>78.328305946356352</v>
      </c>
      <c r="AF8" s="10">
        <v>-83.681194083026938</v>
      </c>
      <c r="AG8" s="10">
        <v>0.81714296340942383</v>
      </c>
      <c r="AH8" s="10">
        <v>73.080594722992842</v>
      </c>
      <c r="AI8" s="10">
        <v>34.553881079853262</v>
      </c>
      <c r="AJ8" s="10">
        <v>12.700000127156576</v>
      </c>
      <c r="AK8" s="10">
        <v>13.667500019073486</v>
      </c>
      <c r="AL8" s="10">
        <v>14.111000061035156</v>
      </c>
      <c r="AM8" s="10">
        <v>0.78372194365124637</v>
      </c>
      <c r="AN8" s="10">
        <v>20.760957589149474</v>
      </c>
      <c r="AO8" s="10">
        <v>15.678443948337648</v>
      </c>
      <c r="AP8" s="10">
        <v>12.543556173732664</v>
      </c>
      <c r="AQ8" s="10">
        <v>-0.26235457745794177</v>
      </c>
      <c r="AR8" s="10">
        <v>-9.9481559323458153E-3</v>
      </c>
      <c r="AS8" s="10">
        <v>0.22215914967369182</v>
      </c>
      <c r="AT8" s="10">
        <v>-57.350152139329616</v>
      </c>
      <c r="AU8" s="10">
        <v>-83.135234288237456</v>
      </c>
      <c r="AV8" s="10">
        <v>8.8838374545364758</v>
      </c>
      <c r="AW8" s="10">
        <v>27.141320658668391</v>
      </c>
      <c r="AX8" s="10">
        <v>-87.782951374830105</v>
      </c>
      <c r="AY8" s="10">
        <v>22.249266271760472</v>
      </c>
      <c r="AZ8" s="10">
        <v>13.484012040898355</v>
      </c>
      <c r="BA8" s="10">
        <v>-8.5669239780061607E-2</v>
      </c>
      <c r="BB8" s="10">
        <v>-71.904650464375379</v>
      </c>
      <c r="BC8" s="10">
        <v>13.719680485756559</v>
      </c>
      <c r="BD8" s="10">
        <v>14.375488507791365</v>
      </c>
      <c r="BE8" s="10">
        <v>-0.15744673264776066</v>
      </c>
      <c r="BF8" s="10">
        <v>14.732518373725926</v>
      </c>
      <c r="BG8" s="10">
        <v>16.188651509458598</v>
      </c>
      <c r="BH8" s="10">
        <v>-0.30343409098345159</v>
      </c>
      <c r="BI8" s="10">
        <v>-74.668696117217934</v>
      </c>
      <c r="BJ8" s="10">
        <v>19.376479827023882</v>
      </c>
      <c r="BK8" s="10">
        <v>-0.56010303607064948</v>
      </c>
      <c r="BL8" s="10">
        <v>-1.0128378879693667</v>
      </c>
      <c r="BM8" s="10">
        <v>-0.9719210935996756</v>
      </c>
      <c r="BN8" s="10">
        <v>-4.091679436969109E-2</v>
      </c>
      <c r="BO8" s="10">
        <v>-87.889738309715739</v>
      </c>
      <c r="BP8" s="10">
        <v>80.992379496411374</v>
      </c>
      <c r="BQ8" s="10">
        <v>42639066.666666664</v>
      </c>
      <c r="BR8" s="10">
        <v>44692940</v>
      </c>
      <c r="BS8" s="10">
        <v>31545103</v>
      </c>
      <c r="BT8">
        <v>0.62818760885948111</v>
      </c>
      <c r="BU8">
        <v>0.55336390937808067</v>
      </c>
      <c r="BV8" s="10">
        <v>16.045853963253762</v>
      </c>
      <c r="BW8" s="10">
        <v>8.8622351655089791</v>
      </c>
      <c r="BX8" s="10">
        <v>8.8622351655089791</v>
      </c>
      <c r="BY8" s="10">
        <v>16.391638811307136</v>
      </c>
      <c r="BZ8" s="10">
        <v>-88.376707496670662</v>
      </c>
      <c r="CA8" s="10">
        <v>84.009939432994216</v>
      </c>
      <c r="CB8" s="10">
        <v>0</v>
      </c>
      <c r="CC8" s="10">
        <v>0</v>
      </c>
      <c r="CD8" s="10">
        <v>0</v>
      </c>
      <c r="CE8" s="10">
        <v>0</v>
      </c>
      <c r="CF8" s="10">
        <v>0</v>
      </c>
      <c r="CG8" s="10">
        <v>0</v>
      </c>
      <c r="CH8" s="10">
        <v>-1</v>
      </c>
      <c r="CI8" s="10">
        <v>0</v>
      </c>
      <c r="CJ8" s="10">
        <v>-1</v>
      </c>
      <c r="CK8" s="10">
        <v>0</v>
      </c>
      <c r="CL8" s="10">
        <v>0</v>
      </c>
      <c r="CM8" s="10">
        <v>0</v>
      </c>
      <c r="CN8" s="10">
        <v>0</v>
      </c>
      <c r="CO8" s="10">
        <v>0</v>
      </c>
      <c r="CP8" s="10">
        <v>0</v>
      </c>
      <c r="CQ8" s="10">
        <v>0</v>
      </c>
      <c r="CR8" s="10">
        <v>0</v>
      </c>
      <c r="CS8" s="10">
        <v>0</v>
      </c>
      <c r="CT8" s="10">
        <v>0</v>
      </c>
      <c r="CU8" s="10">
        <v>0</v>
      </c>
      <c r="CV8" s="10">
        <v>0</v>
      </c>
      <c r="CW8" s="10">
        <v>0</v>
      </c>
      <c r="CX8" s="10" t="s">
        <v>92</v>
      </c>
      <c r="CY8" s="1" t="str">
        <f>VLOOKUP(bovespa_diario_last_date_1[[#This Row],[Stock]],Patterns!H:J,2,0)</f>
        <v>CDLSPINNINGTOP_Bull</v>
      </c>
      <c r="CZ8" s="5">
        <f>IF(RIGHT(bovespa_diario_last_date_1[[#This Row],[PATTERN]],4)="Bull",1,IF(RIGHT(bovespa_diario_last_date_1[[#This Row],[PATTERN]],4)="Bear",-1,0))</f>
        <v>1</v>
      </c>
    </row>
    <row r="9" spans="1:104" x14ac:dyDescent="0.25">
      <c r="A9" s="4">
        <v>44491</v>
      </c>
      <c r="B9" s="10">
        <v>2.7300000190734863</v>
      </c>
      <c r="C9" s="10">
        <v>2.4700000286102295</v>
      </c>
      <c r="D9" s="10">
        <v>2.690000057220459</v>
      </c>
      <c r="E9" s="10">
        <v>2.619999885559082</v>
      </c>
      <c r="F9" s="10">
        <v>76118000</v>
      </c>
      <c r="G9" s="10">
        <v>2.619999885559082</v>
      </c>
      <c r="H9" s="10">
        <v>2.7200000286102295</v>
      </c>
      <c r="I9" s="10">
        <v>-3.6764758087977634E-2</v>
      </c>
      <c r="J9" s="10">
        <v>-3.7457616733107719E-2</v>
      </c>
      <c r="K9" s="10">
        <v>7.0000171661376953E-2</v>
      </c>
      <c r="L9" s="10">
        <v>0.14999985694885254</v>
      </c>
      <c r="M9" s="10">
        <v>3.9999961853027344E-2</v>
      </c>
      <c r="N9" s="10">
        <v>2.6365413339245754E-2</v>
      </c>
      <c r="O9" s="10">
        <v>2.1428498443471096</v>
      </c>
      <c r="P9" s="10">
        <v>0.57142662515922915</v>
      </c>
      <c r="Q9" s="10">
        <v>0.4836427717106383</v>
      </c>
      <c r="R9" s="10">
        <v>0.64700328821887987</v>
      </c>
      <c r="S9" s="10">
        <v>-0.10497883658521781</v>
      </c>
      <c r="T9" s="10">
        <v>-78.878886833103934</v>
      </c>
      <c r="U9" s="10">
        <v>-66.850850046227066</v>
      </c>
      <c r="V9" s="10">
        <v>-4.2993597934641112</v>
      </c>
      <c r="W9" s="10">
        <v>7.9216808814894391</v>
      </c>
      <c r="X9" s="10">
        <v>-0.3900001049041748</v>
      </c>
      <c r="Y9" s="10">
        <v>0.13222220208909777</v>
      </c>
      <c r="Z9" s="10">
        <v>-76118000</v>
      </c>
      <c r="AA9" s="10">
        <v>-2318788700</v>
      </c>
      <c r="AB9" s="10">
        <v>-77.94089729269291</v>
      </c>
      <c r="AC9" s="10">
        <v>37.070410065737121</v>
      </c>
      <c r="AD9" s="10">
        <v>18.301303508000807</v>
      </c>
      <c r="AE9" s="10">
        <v>-79.035318895047638</v>
      </c>
      <c r="AF9" s="10">
        <v>-80.858226617455543</v>
      </c>
      <c r="AG9" s="10">
        <v>0.16285714081355504</v>
      </c>
      <c r="AH9" s="10">
        <v>52.266743774199995</v>
      </c>
      <c r="AI9" s="10">
        <v>49.05771169102583</v>
      </c>
      <c r="AJ9" s="10">
        <v>2.75</v>
      </c>
      <c r="AK9" s="10">
        <v>2.949999988079071</v>
      </c>
      <c r="AL9" s="10">
        <v>2.8940000057220461</v>
      </c>
      <c r="AM9" s="10">
        <v>0.15520444849869255</v>
      </c>
      <c r="AN9" s="10">
        <v>3.8816000080108641</v>
      </c>
      <c r="AO9" s="10">
        <v>3.2044089027194311</v>
      </c>
      <c r="AP9" s="10">
        <v>2.583591108724661</v>
      </c>
      <c r="AQ9" s="10">
        <v>-0.22305688652182593</v>
      </c>
      <c r="AR9" s="10">
        <v>1.389648031478892E-2</v>
      </c>
      <c r="AS9" s="10">
        <v>0.21451893322988352</v>
      </c>
      <c r="AT9" s="10">
        <v>61.675815686627544</v>
      </c>
      <c r="AU9" s="10">
        <v>14.343699668874063</v>
      </c>
      <c r="AV9" s="10">
        <v>7.818966307612996</v>
      </c>
      <c r="AW9" s="10">
        <v>32.241415176798995</v>
      </c>
      <c r="AX9" s="10">
        <v>-88.465891748609039</v>
      </c>
      <c r="AY9" s="10">
        <v>-51.440257662048708</v>
      </c>
      <c r="AZ9" s="10">
        <v>2.8667456142357599</v>
      </c>
      <c r="BA9" s="10">
        <v>-9.4177763150560131E-2</v>
      </c>
      <c r="BB9" s="10">
        <v>-7.2623319169898748</v>
      </c>
      <c r="BC9" s="10">
        <v>2.887229790736014</v>
      </c>
      <c r="BD9" s="10">
        <v>2.9270083081891931</v>
      </c>
      <c r="BE9" s="10">
        <v>-0.11717879238174032</v>
      </c>
      <c r="BF9" s="10">
        <v>2.9521783496675003</v>
      </c>
      <c r="BG9" s="10">
        <v>3.1110466293574004</v>
      </c>
      <c r="BH9" s="10">
        <v>-0.187422429483631</v>
      </c>
      <c r="BI9" s="10">
        <v>-21.153651978115729</v>
      </c>
      <c r="BJ9" s="10">
        <v>3.9977629618135166</v>
      </c>
      <c r="BK9" s="10">
        <v>-0.52586379253235482</v>
      </c>
      <c r="BL9" s="10">
        <v>-6.4948558931486211E-2</v>
      </c>
      <c r="BM9" s="10">
        <v>-5.0527728467311989E-2</v>
      </c>
      <c r="BN9" s="10">
        <v>-1.4420830464174222E-2</v>
      </c>
      <c r="BO9" s="10">
        <v>-83.712493116544252</v>
      </c>
      <c r="BP9" s="10">
        <v>27.906487125218568</v>
      </c>
      <c r="BQ9" s="10">
        <v>43061344.444444448</v>
      </c>
      <c r="BR9" s="10">
        <v>38455905</v>
      </c>
      <c r="BS9" s="10">
        <v>44134716</v>
      </c>
      <c r="BT9">
        <v>0.76766427017167493</v>
      </c>
      <c r="BU9">
        <v>0.97935791655403759</v>
      </c>
      <c r="BV9" s="10">
        <v>19.999980926513672</v>
      </c>
      <c r="BW9" s="10">
        <v>23.333326975504566</v>
      </c>
      <c r="BX9" s="10">
        <v>23.333326975504566</v>
      </c>
      <c r="BY9" s="10">
        <v>35.967075706636578</v>
      </c>
      <c r="BZ9" s="10">
        <v>-88.910923709765314</v>
      </c>
      <c r="CA9" s="10">
        <v>86.810552402984683</v>
      </c>
      <c r="CB9" s="10">
        <v>0</v>
      </c>
      <c r="CC9" s="10">
        <v>0</v>
      </c>
      <c r="CD9" s="10">
        <v>0</v>
      </c>
      <c r="CE9" s="10">
        <v>0</v>
      </c>
      <c r="CF9" s="10">
        <v>0</v>
      </c>
      <c r="CG9" s="10">
        <v>0</v>
      </c>
      <c r="CH9" s="10">
        <v>-1</v>
      </c>
      <c r="CI9" s="10">
        <v>0</v>
      </c>
      <c r="CJ9" s="10">
        <v>-1</v>
      </c>
      <c r="CK9" s="10">
        <v>0</v>
      </c>
      <c r="CL9" s="10">
        <v>0</v>
      </c>
      <c r="CM9" s="10">
        <v>0</v>
      </c>
      <c r="CN9" s="10">
        <v>0</v>
      </c>
      <c r="CO9" s="10">
        <v>0</v>
      </c>
      <c r="CP9" s="10">
        <v>0</v>
      </c>
      <c r="CQ9" s="10">
        <v>0</v>
      </c>
      <c r="CR9" s="10">
        <v>0</v>
      </c>
      <c r="CS9" s="10">
        <v>0</v>
      </c>
      <c r="CT9" s="10">
        <v>0</v>
      </c>
      <c r="CU9" s="10">
        <v>0</v>
      </c>
      <c r="CV9" s="10">
        <v>0</v>
      </c>
      <c r="CW9" s="10">
        <v>0</v>
      </c>
      <c r="CX9" s="10" t="s">
        <v>205</v>
      </c>
      <c r="CY9" s="1" t="str">
        <f>VLOOKUP(bovespa_diario_last_date_1[[#This Row],[Stock]],Patterns!H:J,2,0)</f>
        <v>CDLHIGHWAVE_Bear</v>
      </c>
      <c r="CZ9" s="5">
        <f>IF(RIGHT(bovespa_diario_last_date_1[[#This Row],[PATTERN]],4)="Bull",1,IF(RIGHT(bovespa_diario_last_date_1[[#This Row],[PATTERN]],4)="Bear",-1,0))</f>
        <v>-1</v>
      </c>
    </row>
    <row r="10" spans="1:104" x14ac:dyDescent="0.25">
      <c r="A10" s="4">
        <v>44491</v>
      </c>
      <c r="B10" s="10">
        <v>12.949999809265137</v>
      </c>
      <c r="C10" s="10">
        <v>12.210000038146973</v>
      </c>
      <c r="D10" s="10">
        <v>12.949999809265137</v>
      </c>
      <c r="E10" s="10">
        <v>12.619999885559082</v>
      </c>
      <c r="F10" s="10">
        <v>75684300</v>
      </c>
      <c r="G10" s="10">
        <v>12.619999885559082</v>
      </c>
      <c r="H10" s="10">
        <v>13.010000228881836</v>
      </c>
      <c r="I10" s="10">
        <v>-2.9976966676523498E-2</v>
      </c>
      <c r="J10" s="10">
        <v>-3.0435462072327408E-2</v>
      </c>
      <c r="K10" s="10">
        <v>0.32999992370605469</v>
      </c>
      <c r="L10" s="10">
        <v>0.40999984741210938</v>
      </c>
      <c r="M10" s="10">
        <v>0</v>
      </c>
      <c r="N10" s="10">
        <v>2.5811492189642224E-2</v>
      </c>
      <c r="O10" s="10">
        <v>1.2424240672774036</v>
      </c>
      <c r="P10" s="10">
        <v>0</v>
      </c>
      <c r="Q10" s="10">
        <v>0.37113292009266136</v>
      </c>
      <c r="R10" s="10">
        <v>0.49901797969414868</v>
      </c>
      <c r="S10" s="10">
        <v>2.8940898867791838E-2</v>
      </c>
      <c r="T10" s="10">
        <v>-22.816224277987878</v>
      </c>
      <c r="U10" s="10">
        <v>59.183163154062782</v>
      </c>
      <c r="V10" s="10">
        <v>66.613308848003982</v>
      </c>
      <c r="W10" s="10">
        <v>-27.24512433060513</v>
      </c>
      <c r="X10" s="10">
        <v>0.13000011444091797</v>
      </c>
      <c r="Y10" s="10">
        <v>0.23162354363335502</v>
      </c>
      <c r="Z10" s="10">
        <v>-75684300</v>
      </c>
      <c r="AA10" s="10">
        <v>-841472500</v>
      </c>
      <c r="AB10" s="10">
        <v>-85.941295631859035</v>
      </c>
      <c r="AC10" s="10">
        <v>68.94321321312637</v>
      </c>
      <c r="AD10" s="10">
        <v>23.095742913253169</v>
      </c>
      <c r="AE10" s="10">
        <v>-83.447187188158438</v>
      </c>
      <c r="AF10" s="10">
        <v>-83.362223493129719</v>
      </c>
      <c r="AG10" s="10">
        <v>0.59357145854404991</v>
      </c>
      <c r="AH10" s="10">
        <v>72.804762229982316</v>
      </c>
      <c r="AI10" s="10">
        <v>53.847939537750669</v>
      </c>
      <c r="AJ10" s="10">
        <v>12.923333485921225</v>
      </c>
      <c r="AK10" s="10">
        <v>12.867500066757202</v>
      </c>
      <c r="AL10" s="10">
        <v>12.760045194625855</v>
      </c>
      <c r="AM10" s="10">
        <v>0.43201271843135847</v>
      </c>
      <c r="AN10" s="10">
        <v>16.359900341033935</v>
      </c>
      <c r="AO10" s="10">
        <v>13.624070631488571</v>
      </c>
      <c r="AP10" s="10">
        <v>11.896019757763138</v>
      </c>
      <c r="AQ10" s="10">
        <v>-7.9561866484518406E-2</v>
      </c>
      <c r="AR10" s="10">
        <v>5.7367681011184925E-2</v>
      </c>
      <c r="AS10" s="10">
        <v>0.1354267047935877</v>
      </c>
      <c r="AT10" s="10">
        <v>-82.147331920478436</v>
      </c>
      <c r="AU10" s="10">
        <v>-55.633601949048881</v>
      </c>
      <c r="AV10" s="10">
        <v>36.246661510424254</v>
      </c>
      <c r="AW10" s="10">
        <v>45.63271324767986</v>
      </c>
      <c r="AX10" s="10">
        <v>-38.301536675394324</v>
      </c>
      <c r="AY10" s="10">
        <v>84.712637928589544</v>
      </c>
      <c r="AZ10" s="10">
        <v>12.796546924695644</v>
      </c>
      <c r="BA10" s="10">
        <v>-1.3989464400755066E-2</v>
      </c>
      <c r="BB10" s="10">
        <v>60.727242744320087</v>
      </c>
      <c r="BC10" s="10">
        <v>12.80319283429799</v>
      </c>
      <c r="BD10" s="10">
        <v>12.913493416528972</v>
      </c>
      <c r="BE10" s="10">
        <v>-2.3256222950186495E-2</v>
      </c>
      <c r="BF10" s="10">
        <v>13.003924599611167</v>
      </c>
      <c r="BG10" s="10">
        <v>13.514253446899616</v>
      </c>
      <c r="BH10" s="10">
        <v>-7.0860029274946182E-2</v>
      </c>
      <c r="BI10" s="10">
        <v>-70.213569551339404</v>
      </c>
      <c r="BJ10" s="10">
        <v>15.487567394414015</v>
      </c>
      <c r="BK10" s="10">
        <v>-0.2272240518905437</v>
      </c>
      <c r="BL10" s="10">
        <v>-0.20073176531317749</v>
      </c>
      <c r="BM10" s="10">
        <v>-0.280598833784794</v>
      </c>
      <c r="BN10" s="10">
        <v>7.9867068471616509E-2</v>
      </c>
      <c r="BO10" s="10">
        <v>61.131668535834706</v>
      </c>
      <c r="BP10" s="10">
        <v>84.332441548412248</v>
      </c>
      <c r="BQ10" s="10">
        <v>74585144.444444448</v>
      </c>
      <c r="BR10" s="10">
        <v>59930885</v>
      </c>
      <c r="BS10" s="10">
        <v>44657086</v>
      </c>
      <c r="BT10">
        <v>1.47369233343011E-2</v>
      </c>
      <c r="BU10">
        <v>0.26285970914662782</v>
      </c>
      <c r="BV10" s="10">
        <v>58.064484372971521</v>
      </c>
      <c r="BW10" s="10">
        <v>73.446642781821524</v>
      </c>
      <c r="BX10" s="10">
        <v>73.446642781821524</v>
      </c>
      <c r="BY10" s="10">
        <v>69.514432403657338</v>
      </c>
      <c r="BZ10" s="10">
        <v>87.393641482494957</v>
      </c>
      <c r="CA10" s="10">
        <v>87.195519067497031</v>
      </c>
      <c r="CB10" s="10">
        <v>1</v>
      </c>
      <c r="CC10" s="10">
        <v>0</v>
      </c>
      <c r="CD10" s="10">
        <v>1</v>
      </c>
      <c r="CE10" s="10">
        <v>0</v>
      </c>
      <c r="CF10" s="10">
        <v>0</v>
      </c>
      <c r="CG10" s="10">
        <v>0</v>
      </c>
      <c r="CH10" s="10">
        <v>0</v>
      </c>
      <c r="CI10" s="10">
        <v>0</v>
      </c>
      <c r="CJ10" s="10">
        <v>0</v>
      </c>
      <c r="CK10" s="10">
        <v>-1</v>
      </c>
      <c r="CL10" s="10">
        <v>0</v>
      </c>
      <c r="CM10" s="10">
        <v>-1</v>
      </c>
      <c r="CN10" s="10">
        <v>0</v>
      </c>
      <c r="CO10" s="10">
        <v>0</v>
      </c>
      <c r="CP10" s="10">
        <v>0</v>
      </c>
      <c r="CQ10" s="10">
        <v>0</v>
      </c>
      <c r="CR10" s="10">
        <v>0</v>
      </c>
      <c r="CS10" s="10">
        <v>0</v>
      </c>
      <c r="CT10" s="10">
        <v>0</v>
      </c>
      <c r="CU10" s="10">
        <v>0</v>
      </c>
      <c r="CV10" s="10">
        <v>0</v>
      </c>
      <c r="CW10" s="10">
        <v>0</v>
      </c>
      <c r="CX10" s="10" t="s">
        <v>93</v>
      </c>
      <c r="CY10" s="1" t="str">
        <f>VLOOKUP(bovespa_diario_last_date_1[[#This Row],[Stock]],Patterns!H:J,2,0)</f>
        <v>NO_PATTERN</v>
      </c>
      <c r="CZ10" s="5">
        <f>IF(RIGHT(bovespa_diario_last_date_1[[#This Row],[PATTERN]],4)="Bull",1,IF(RIGHT(bovespa_diario_last_date_1[[#This Row],[PATTERN]],4)="Bear",-1,0))</f>
        <v>0</v>
      </c>
    </row>
    <row r="11" spans="1:104" x14ac:dyDescent="0.25">
      <c r="A11" s="4">
        <v>44491</v>
      </c>
      <c r="B11" s="10">
        <v>29.639999389648438</v>
      </c>
      <c r="C11" s="10">
        <v>27.909999847412109</v>
      </c>
      <c r="D11" s="10">
        <v>29.639999389648438</v>
      </c>
      <c r="E11" s="10">
        <v>28.909999847412109</v>
      </c>
      <c r="F11" s="10">
        <v>32789100</v>
      </c>
      <c r="G11" s="10">
        <v>28.909999847412109</v>
      </c>
      <c r="H11" s="10">
        <v>29.819999694824219</v>
      </c>
      <c r="I11" s="10">
        <v>-3.0516427120220735E-2</v>
      </c>
      <c r="J11" s="10">
        <v>-3.0991748352439452E-2</v>
      </c>
      <c r="K11" s="10">
        <v>0.72999954223632813</v>
      </c>
      <c r="L11" s="10">
        <v>1</v>
      </c>
      <c r="M11" s="10">
        <v>0</v>
      </c>
      <c r="N11" s="10">
        <v>2.4935936865879867E-2</v>
      </c>
      <c r="O11" s="10">
        <v>1.3698638727039949</v>
      </c>
      <c r="P11" s="10">
        <v>0</v>
      </c>
      <c r="Q11" s="10">
        <v>0.33585213053234664</v>
      </c>
      <c r="R11" s="10">
        <v>0.3886379402025929</v>
      </c>
      <c r="S11" s="10">
        <v>-4.7619999958783243E-2</v>
      </c>
      <c r="T11" s="10">
        <v>-85.068001482967745</v>
      </c>
      <c r="U11" s="10">
        <v>-68.679651460838201</v>
      </c>
      <c r="V11" s="10">
        <v>7.1506810121317015</v>
      </c>
      <c r="W11" s="10">
        <v>50.825694989409691</v>
      </c>
      <c r="X11" s="10">
        <v>-2.0499992370605469</v>
      </c>
      <c r="Y11" s="10">
        <v>0.84444448682996964</v>
      </c>
      <c r="Z11" s="10">
        <v>-32789100</v>
      </c>
      <c r="AA11" s="10">
        <v>-124159600</v>
      </c>
      <c r="AB11" s="10">
        <v>-85.990386887296509</v>
      </c>
      <c r="AC11" s="10">
        <v>36.829734867252917</v>
      </c>
      <c r="AD11" s="10">
        <v>21.100720658539196</v>
      </c>
      <c r="AE11" s="10">
        <v>-71.224811723633209</v>
      </c>
      <c r="AF11" s="10">
        <v>81.60520144250215</v>
      </c>
      <c r="AG11" s="10">
        <v>1.1142854690551758</v>
      </c>
      <c r="AH11" s="10">
        <v>80.258368031437442</v>
      </c>
      <c r="AI11" s="10">
        <v>61.519004374527711</v>
      </c>
      <c r="AJ11" s="10">
        <v>29.976666768391926</v>
      </c>
      <c r="AK11" s="10">
        <v>30.714999914169312</v>
      </c>
      <c r="AL11" s="10">
        <v>30.218499851226806</v>
      </c>
      <c r="AM11" s="10">
        <v>0.92607409925887763</v>
      </c>
      <c r="AN11" s="10">
        <v>30.79764199256897</v>
      </c>
      <c r="AO11" s="10">
        <v>32.070648049744563</v>
      </c>
      <c r="AP11" s="10">
        <v>28.366351652709049</v>
      </c>
      <c r="AQ11" s="10">
        <v>-0.10932716080990848</v>
      </c>
      <c r="AR11" s="10">
        <v>1.880484944906442E-2</v>
      </c>
      <c r="AS11" s="10">
        <v>0.12258372901608902</v>
      </c>
      <c r="AT11" s="10">
        <v>-62.214682585023837</v>
      </c>
      <c r="AU11" s="10">
        <v>66.200775774413174</v>
      </c>
      <c r="AV11" s="10">
        <v>18.786179692744966</v>
      </c>
      <c r="AW11" s="10">
        <v>39.142336844557938</v>
      </c>
      <c r="AX11" s="10">
        <v>-88.632736307578611</v>
      </c>
      <c r="AY11" s="10">
        <v>-77.105953409219296</v>
      </c>
      <c r="AZ11" s="10">
        <v>30.355247900403178</v>
      </c>
      <c r="BA11" s="10">
        <v>-4.9991285389800535E-2</v>
      </c>
      <c r="BB11" s="10">
        <v>43.839756366851425</v>
      </c>
      <c r="BC11" s="10">
        <v>30.364433357192187</v>
      </c>
      <c r="BD11" s="10">
        <v>30.227103629465883</v>
      </c>
      <c r="BE11" s="10">
        <v>-4.5558761293859891E-2</v>
      </c>
      <c r="BF11" s="10">
        <v>30.163592456348084</v>
      </c>
      <c r="BG11" s="10">
        <v>30.141786731071161</v>
      </c>
      <c r="BH11" s="10">
        <v>-4.2607640614336265E-2</v>
      </c>
      <c r="BI11" s="10">
        <v>36.200746681188562</v>
      </c>
      <c r="BJ11" s="10">
        <v>30.932000277039201</v>
      </c>
      <c r="BK11" s="10">
        <v>-6.9941212047709214E-2</v>
      </c>
      <c r="BL11" s="10">
        <v>0.20084090084410278</v>
      </c>
      <c r="BM11" s="10">
        <v>0.31552624948388125</v>
      </c>
      <c r="BN11" s="10">
        <v>-0.11468534863977847</v>
      </c>
      <c r="BO11" s="10">
        <v>-86.435693922700239</v>
      </c>
      <c r="BP11" s="10">
        <v>-61.707502044553785</v>
      </c>
      <c r="BQ11" s="10">
        <v>16895977.777777776</v>
      </c>
      <c r="BR11" s="10">
        <v>15587165</v>
      </c>
      <c r="BS11" s="10">
        <v>16361243</v>
      </c>
      <c r="BT11">
        <v>0.94064530808778968</v>
      </c>
      <c r="BU11">
        <v>1.1035961318174281</v>
      </c>
      <c r="BV11" s="10">
        <v>22.421529266260791</v>
      </c>
      <c r="BW11" s="10">
        <v>38.405657285476593</v>
      </c>
      <c r="BX11" s="10">
        <v>38.405657285476593</v>
      </c>
      <c r="BY11" s="10">
        <v>52.155082519686438</v>
      </c>
      <c r="BZ11" s="10">
        <v>-86.833534136523511</v>
      </c>
      <c r="CA11" s="10">
        <v>-25.93085528429091</v>
      </c>
      <c r="CB11" s="10">
        <v>1</v>
      </c>
      <c r="CC11" s="10">
        <v>0</v>
      </c>
      <c r="CD11" s="10">
        <v>1</v>
      </c>
      <c r="CE11" s="10">
        <v>1</v>
      </c>
      <c r="CF11" s="10">
        <v>0</v>
      </c>
      <c r="CG11" s="10">
        <v>1</v>
      </c>
      <c r="CH11" s="10">
        <v>-1</v>
      </c>
      <c r="CI11" s="10">
        <v>0</v>
      </c>
      <c r="CJ11" s="10">
        <v>-1</v>
      </c>
      <c r="CK11" s="10">
        <v>-1</v>
      </c>
      <c r="CL11" s="10">
        <v>0</v>
      </c>
      <c r="CM11" s="10">
        <v>-1</v>
      </c>
      <c r="CN11" s="10">
        <v>0</v>
      </c>
      <c r="CO11" s="10">
        <v>0</v>
      </c>
      <c r="CP11" s="10">
        <v>0</v>
      </c>
      <c r="CQ11" s="10">
        <v>0</v>
      </c>
      <c r="CR11" s="10">
        <v>0</v>
      </c>
      <c r="CS11" s="10">
        <v>0</v>
      </c>
      <c r="CT11" s="10">
        <v>0</v>
      </c>
      <c r="CU11" s="10">
        <v>0</v>
      </c>
      <c r="CV11" s="10">
        <v>0</v>
      </c>
      <c r="CW11" s="10">
        <v>0</v>
      </c>
      <c r="CX11" s="10" t="s">
        <v>94</v>
      </c>
      <c r="CY11" s="1" t="str">
        <f>VLOOKUP(bovespa_diario_last_date_1[[#This Row],[Stock]],Patterns!H:J,2,0)</f>
        <v>CDLBELTHOLD_Bull</v>
      </c>
      <c r="CZ11" s="5">
        <f>IF(RIGHT(bovespa_diario_last_date_1[[#This Row],[PATTERN]],4)="Bull",1,IF(RIGHT(bovespa_diario_last_date_1[[#This Row],[PATTERN]],4)="Bear",-1,0))</f>
        <v>1</v>
      </c>
    </row>
    <row r="12" spans="1:104" x14ac:dyDescent="0.25">
      <c r="A12" s="4">
        <v>44491</v>
      </c>
      <c r="B12" s="10">
        <v>5.059999942779541</v>
      </c>
      <c r="C12" s="10">
        <v>4.75</v>
      </c>
      <c r="D12" s="10">
        <v>4.9899997711181641</v>
      </c>
      <c r="E12" s="10">
        <v>5.0100002288818359</v>
      </c>
      <c r="F12" s="10">
        <v>30841000</v>
      </c>
      <c r="G12" s="10">
        <v>5.0100002288818359</v>
      </c>
      <c r="H12" s="10">
        <v>5.0500001907348633</v>
      </c>
      <c r="I12" s="10">
        <v>-7.9207842261895811E-3</v>
      </c>
      <c r="J12" s="10">
        <v>-7.95232027477797E-3</v>
      </c>
      <c r="K12" s="10">
        <v>2.0000457763671875E-2</v>
      </c>
      <c r="L12" s="10">
        <v>0.23999977111816406</v>
      </c>
      <c r="M12" s="10">
        <v>4.9999713897705078E-2</v>
      </c>
      <c r="N12" s="10">
        <v>4.0000915527343747E-3</v>
      </c>
      <c r="O12" s="10">
        <v>11.999713904253291</v>
      </c>
      <c r="P12" s="10">
        <v>2.4999284760633227</v>
      </c>
      <c r="Q12" s="10">
        <v>0.43662752390192305</v>
      </c>
      <c r="R12" s="10">
        <v>0.3850884424481904</v>
      </c>
      <c r="S12" s="10">
        <v>3.8661997104867715E-2</v>
      </c>
      <c r="T12" s="10">
        <v>-32.557762807533031</v>
      </c>
      <c r="U12" s="10">
        <v>-1.7066659053883806</v>
      </c>
      <c r="V12" s="10">
        <v>17.800224907593101</v>
      </c>
      <c r="W12" s="10">
        <v>13.63792008685931</v>
      </c>
      <c r="X12" s="10">
        <v>-9.9999904632568359E-2</v>
      </c>
      <c r="Y12" s="10">
        <v>0.26777776082356769</v>
      </c>
      <c r="Z12" s="10">
        <v>-30841000</v>
      </c>
      <c r="AA12" s="10">
        <v>-211525875</v>
      </c>
      <c r="AB12" s="10">
        <v>-77.244932312749484</v>
      </c>
      <c r="AC12" s="10">
        <v>2.6269765180536977</v>
      </c>
      <c r="AD12" s="10">
        <v>17.694724005383925</v>
      </c>
      <c r="AE12" s="10">
        <v>-73.120708611311017</v>
      </c>
      <c r="AF12" s="10">
        <v>-76.180577881962137</v>
      </c>
      <c r="AG12" s="10">
        <v>0.20142844745091029</v>
      </c>
      <c r="AH12" s="10">
        <v>41.071401122246868</v>
      </c>
      <c r="AI12" s="10">
        <v>9.1189236902957358</v>
      </c>
      <c r="AJ12" s="10">
        <v>5.1033334732055664</v>
      </c>
      <c r="AK12" s="10">
        <v>5.143750011920929</v>
      </c>
      <c r="AL12" s="10">
        <v>4.9905000209808348</v>
      </c>
      <c r="AM12" s="10">
        <v>0.16001560334141404</v>
      </c>
      <c r="AN12" s="10">
        <v>5.9872499942779545</v>
      </c>
      <c r="AO12" s="10">
        <v>5.3105312276636631</v>
      </c>
      <c r="AP12" s="10">
        <v>4.6704688142980064</v>
      </c>
      <c r="AQ12" s="10">
        <v>-5.9986224561291414E-2</v>
      </c>
      <c r="AR12" s="10">
        <v>6.7770738337792111E-2</v>
      </c>
      <c r="AS12" s="10">
        <v>0.12825616885577301</v>
      </c>
      <c r="AT12" s="10">
        <v>17.089250507197242</v>
      </c>
      <c r="AU12" s="10">
        <v>-48.170591778620008</v>
      </c>
      <c r="AV12" s="10">
        <v>28.676039194106721</v>
      </c>
      <c r="AW12" s="10">
        <v>46.879446159356107</v>
      </c>
      <c r="AX12" s="10">
        <v>-87.436627717521688</v>
      </c>
      <c r="AY12" s="10">
        <v>81.10186716176301</v>
      </c>
      <c r="AZ12" s="10">
        <v>5.0877980057820977</v>
      </c>
      <c r="BA12" s="10">
        <v>-1.5528497673866415E-2</v>
      </c>
      <c r="BB12" s="10">
        <v>15.974197560195391</v>
      </c>
      <c r="BC12" s="10">
        <v>5.0756916347937437</v>
      </c>
      <c r="BD12" s="10">
        <v>5.0642876958239427</v>
      </c>
      <c r="BE12" s="10">
        <v>-1.083582124989702E-2</v>
      </c>
      <c r="BF12" s="10">
        <v>5.0734101729817178</v>
      </c>
      <c r="BG12" s="10">
        <v>5.1780106268288399</v>
      </c>
      <c r="BH12" s="10">
        <v>-3.3535008038213535E-2</v>
      </c>
      <c r="BI12" s="10">
        <v>-3.46112572074543</v>
      </c>
      <c r="BJ12" s="10">
        <v>6.3696931641407293</v>
      </c>
      <c r="BK12" s="10">
        <v>-0.27139578306214135</v>
      </c>
      <c r="BL12" s="10">
        <v>2.2814618120259311E-3</v>
      </c>
      <c r="BM12" s="10">
        <v>-2.3231449309678513E-2</v>
      </c>
      <c r="BN12" s="10">
        <v>2.5512911121704444E-2</v>
      </c>
      <c r="BO12" s="10">
        <v>-49.678275407041987</v>
      </c>
      <c r="BP12" s="10">
        <v>32.358521451590029</v>
      </c>
      <c r="BQ12" s="10">
        <v>16487022.222222222</v>
      </c>
      <c r="BR12" s="10">
        <v>13471325</v>
      </c>
      <c r="BS12" s="10">
        <v>26441244.5</v>
      </c>
      <c r="BT12">
        <v>0.87062281983405132</v>
      </c>
      <c r="BU12">
        <v>1.2893813340558555</v>
      </c>
      <c r="BV12" s="10">
        <v>42.424284021616621</v>
      </c>
      <c r="BW12" s="10">
        <v>56.671223214678299</v>
      </c>
      <c r="BX12" s="10">
        <v>56.671223214678299</v>
      </c>
      <c r="BY12" s="10">
        <v>65.839095512182595</v>
      </c>
      <c r="BZ12" s="10">
        <v>-87.480102781487034</v>
      </c>
      <c r="CA12" s="10">
        <v>87.897160563401968</v>
      </c>
      <c r="CB12" s="10">
        <v>1</v>
      </c>
      <c r="CC12" s="10">
        <v>0</v>
      </c>
      <c r="CD12" s="10">
        <v>1</v>
      </c>
      <c r="CE12" s="10">
        <v>0</v>
      </c>
      <c r="CF12" s="10">
        <v>0</v>
      </c>
      <c r="CG12" s="10">
        <v>0</v>
      </c>
      <c r="CH12" s="10">
        <v>0</v>
      </c>
      <c r="CI12" s="10">
        <v>0</v>
      </c>
      <c r="CJ12" s="10">
        <v>0</v>
      </c>
      <c r="CK12" s="10">
        <v>-1</v>
      </c>
      <c r="CL12" s="10">
        <v>0</v>
      </c>
      <c r="CM12" s="10">
        <v>-1</v>
      </c>
      <c r="CN12" s="10">
        <v>0</v>
      </c>
      <c r="CO12" s="10">
        <v>0</v>
      </c>
      <c r="CP12" s="10">
        <v>0</v>
      </c>
      <c r="CQ12" s="10">
        <v>0</v>
      </c>
      <c r="CR12" s="10">
        <v>0</v>
      </c>
      <c r="CS12" s="10">
        <v>0</v>
      </c>
      <c r="CT12" s="10">
        <v>0</v>
      </c>
      <c r="CU12" s="10">
        <v>0</v>
      </c>
      <c r="CV12" s="10">
        <v>0</v>
      </c>
      <c r="CW12" s="10">
        <v>0</v>
      </c>
      <c r="CX12" s="10" t="s">
        <v>95</v>
      </c>
      <c r="CY12" s="1" t="str">
        <f>VLOOKUP(bovespa_diario_last_date_1[[#This Row],[Stock]],Patterns!H:J,2,0)</f>
        <v>CDL3INSIDE_Bull</v>
      </c>
      <c r="CZ12" s="5">
        <f>IF(RIGHT(bovespa_diario_last_date_1[[#This Row],[PATTERN]],4)="Bull",1,IF(RIGHT(bovespa_diario_last_date_1[[#This Row],[PATTERN]],4)="Bear",-1,0))</f>
        <v>1</v>
      </c>
    </row>
    <row r="13" spans="1:104" x14ac:dyDescent="0.25">
      <c r="A13" s="4">
        <v>44491</v>
      </c>
      <c r="B13" s="10">
        <v>15.229999542236328</v>
      </c>
      <c r="C13" s="10">
        <v>14.539999961853027</v>
      </c>
      <c r="D13" s="10">
        <v>14.829999923706055</v>
      </c>
      <c r="E13" s="10">
        <v>15</v>
      </c>
      <c r="F13" s="10">
        <v>29599100</v>
      </c>
      <c r="G13" s="10">
        <v>15</v>
      </c>
      <c r="H13" s="10">
        <v>15.140000343322754</v>
      </c>
      <c r="I13" s="10">
        <v>-9.2470502079280426E-3</v>
      </c>
      <c r="J13" s="10">
        <v>-9.2900695836282791E-3</v>
      </c>
      <c r="K13" s="10">
        <v>0.17000007629394531</v>
      </c>
      <c r="L13" s="10">
        <v>0.28999996185302734</v>
      </c>
      <c r="M13" s="10">
        <v>0.22999954223632813</v>
      </c>
      <c r="N13" s="10">
        <v>1.1397926699882113E-2</v>
      </c>
      <c r="O13" s="10">
        <v>1.7058813629682819</v>
      </c>
      <c r="P13" s="10">
        <v>1.3529378765609397</v>
      </c>
      <c r="Q13" s="10">
        <v>0.32396081825023321</v>
      </c>
      <c r="R13" s="10">
        <v>0.21223455381676126</v>
      </c>
      <c r="S13" s="10">
        <v>-5.3191564183197784E-3</v>
      </c>
      <c r="T13" s="10">
        <v>-80.852696330694656</v>
      </c>
      <c r="U13" s="10">
        <v>-65.427723137492563</v>
      </c>
      <c r="V13" s="10">
        <v>25.842086425781307</v>
      </c>
      <c r="W13" s="10">
        <v>-38.77217074182888</v>
      </c>
      <c r="X13" s="10">
        <v>-0.35999965667724609</v>
      </c>
      <c r="Y13" s="10">
        <v>9.1111077202690974E-2</v>
      </c>
      <c r="Z13" s="10">
        <v>-29599100</v>
      </c>
      <c r="AA13" s="10">
        <v>230150600</v>
      </c>
      <c r="AB13" s="10">
        <v>-77.978514605288439</v>
      </c>
      <c r="AC13" s="10">
        <v>-8.6027323986593505</v>
      </c>
      <c r="AD13" s="10">
        <v>21.050377771694173</v>
      </c>
      <c r="AE13" s="10">
        <v>48.039069905251438</v>
      </c>
      <c r="AF13" s="10">
        <v>-80.510196320231216</v>
      </c>
      <c r="AG13" s="10">
        <v>0.42999996457781109</v>
      </c>
      <c r="AH13" s="10">
        <v>78.548032073027002</v>
      </c>
      <c r="AI13" s="10">
        <v>-10.225878231341088</v>
      </c>
      <c r="AJ13" s="10">
        <v>15.183333396911621</v>
      </c>
      <c r="AK13" s="10">
        <v>15.355000019073486</v>
      </c>
      <c r="AL13" s="10">
        <v>15.350500011444092</v>
      </c>
      <c r="AM13" s="10">
        <v>0.24543132842749715</v>
      </c>
      <c r="AN13" s="10">
        <v>16.303088932037355</v>
      </c>
      <c r="AO13" s="10">
        <v>15.841362668299087</v>
      </c>
      <c r="AP13" s="10">
        <v>14.859637354589097</v>
      </c>
      <c r="AQ13" s="10">
        <v>-5.6090844553272491E-2</v>
      </c>
      <c r="AR13" s="10">
        <v>9.3575096940602034E-3</v>
      </c>
      <c r="AS13" s="10">
        <v>6.3953963257098817E-2</v>
      </c>
      <c r="AT13" s="10">
        <v>-36.447648234054171</v>
      </c>
      <c r="AU13" s="10">
        <v>-77.127227199667189</v>
      </c>
      <c r="AV13" s="10">
        <v>26.171623355730262</v>
      </c>
      <c r="AW13" s="10">
        <v>37.537276406667097</v>
      </c>
      <c r="AX13" s="10">
        <v>-86.338042567038627</v>
      </c>
      <c r="AY13" s="10">
        <v>81.153124337760772</v>
      </c>
      <c r="AZ13" s="10">
        <v>15.271447395524522</v>
      </c>
      <c r="BA13" s="10">
        <v>-1.809649303496812E-2</v>
      </c>
      <c r="BB13" s="10">
        <v>-3.8953235818587841</v>
      </c>
      <c r="BC13" s="10">
        <v>15.309711520161848</v>
      </c>
      <c r="BD13" s="10">
        <v>15.453664678280091</v>
      </c>
      <c r="BE13" s="10">
        <v>-3.0244311885339433E-2</v>
      </c>
      <c r="BF13" s="10">
        <v>15.545154814157563</v>
      </c>
      <c r="BG13" s="10">
        <v>15.938272532705847</v>
      </c>
      <c r="BH13" s="10">
        <v>-6.2551502180389795E-2</v>
      </c>
      <c r="BI13" s="10">
        <v>-65.257969095371919</v>
      </c>
      <c r="BJ13" s="10">
        <v>16.085154501911692</v>
      </c>
      <c r="BK13" s="10">
        <v>-7.2343633460779461E-2</v>
      </c>
      <c r="BL13" s="10">
        <v>-0.23544329399571495</v>
      </c>
      <c r="BM13" s="10">
        <v>-0.26220911941760233</v>
      </c>
      <c r="BN13" s="10">
        <v>2.6765825421887379E-2</v>
      </c>
      <c r="BO13" s="10">
        <v>-84.676621888454591</v>
      </c>
      <c r="BP13" s="10">
        <v>82.578550630431437</v>
      </c>
      <c r="BQ13" s="10">
        <v>20498422.222222224</v>
      </c>
      <c r="BR13" s="10">
        <v>23290385</v>
      </c>
      <c r="BS13" s="10">
        <v>24132514</v>
      </c>
      <c r="BT13">
        <v>0.44396967137850174</v>
      </c>
      <c r="BU13">
        <v>0.2708720787569634</v>
      </c>
      <c r="BV13" s="10">
        <v>38.983043998318948</v>
      </c>
      <c r="BW13" s="10">
        <v>47.060264022987361</v>
      </c>
      <c r="BX13" s="10">
        <v>47.060264022987361</v>
      </c>
      <c r="BY13" s="10">
        <v>50.418767361617448</v>
      </c>
      <c r="BZ13" s="10">
        <v>-82.571621990837997</v>
      </c>
      <c r="CA13" s="10">
        <v>86.231669045071186</v>
      </c>
      <c r="CB13" s="10">
        <v>0</v>
      </c>
      <c r="CC13" s="10">
        <v>0</v>
      </c>
      <c r="CD13" s="10">
        <v>0</v>
      </c>
      <c r="CE13" s="10">
        <v>0</v>
      </c>
      <c r="CF13" s="10">
        <v>0</v>
      </c>
      <c r="CG13" s="10">
        <v>0</v>
      </c>
      <c r="CH13" s="10">
        <v>0</v>
      </c>
      <c r="CI13" s="10">
        <v>0</v>
      </c>
      <c r="CJ13" s="10">
        <v>0</v>
      </c>
      <c r="CK13" s="10">
        <v>0</v>
      </c>
      <c r="CL13" s="10">
        <v>0</v>
      </c>
      <c r="CM13" s="10">
        <v>0</v>
      </c>
      <c r="CN13" s="10">
        <v>0</v>
      </c>
      <c r="CO13" s="10">
        <v>0</v>
      </c>
      <c r="CP13" s="10">
        <v>0</v>
      </c>
      <c r="CQ13" s="10">
        <v>0</v>
      </c>
      <c r="CR13" s="10">
        <v>0</v>
      </c>
      <c r="CS13" s="10">
        <v>0</v>
      </c>
      <c r="CT13" s="10">
        <v>0</v>
      </c>
      <c r="CU13" s="10">
        <v>0</v>
      </c>
      <c r="CV13" s="10">
        <v>0</v>
      </c>
      <c r="CW13" s="10">
        <v>0</v>
      </c>
      <c r="CX13" s="10" t="s">
        <v>96</v>
      </c>
      <c r="CY13" s="1" t="str">
        <f>VLOOKUP(bovespa_diario_last_date_1[[#This Row],[Stock]],Patterns!H:J,2,0)</f>
        <v>NO_PATTERN</v>
      </c>
      <c r="CZ13" s="5">
        <f>IF(RIGHT(bovespa_diario_last_date_1[[#This Row],[PATTERN]],4)="Bull",1,IF(RIGHT(bovespa_diario_last_date_1[[#This Row],[PATTERN]],4)="Bear",-1,0))</f>
        <v>0</v>
      </c>
    </row>
    <row r="14" spans="1:104" x14ac:dyDescent="0.25">
      <c r="A14" s="4">
        <v>44491</v>
      </c>
      <c r="B14" s="10">
        <v>1.0299999713897705</v>
      </c>
      <c r="C14" s="10">
        <v>0.93000000715255737</v>
      </c>
      <c r="D14" s="10">
        <v>1.0199999809265137</v>
      </c>
      <c r="E14" s="10">
        <v>0.98000001907348633</v>
      </c>
      <c r="F14" s="10">
        <v>292338000</v>
      </c>
      <c r="G14" s="10">
        <v>0.98000001907348633</v>
      </c>
      <c r="H14" s="10">
        <v>1.0399999618530273</v>
      </c>
      <c r="I14" s="10">
        <v>-5.7692254788774933E-2</v>
      </c>
      <c r="J14" s="10">
        <v>-5.9423364328277758E-2</v>
      </c>
      <c r="K14" s="10">
        <v>3.9999961853027344E-2</v>
      </c>
      <c r="L14" s="10">
        <v>5.0000011920928955E-2</v>
      </c>
      <c r="M14" s="10">
        <v>9.9999904632568359E-3</v>
      </c>
      <c r="N14" s="10">
        <v>3.9999961853027344E-2</v>
      </c>
      <c r="O14" s="10">
        <v>1.2500014901175405</v>
      </c>
      <c r="P14" s="10">
        <v>0.25</v>
      </c>
      <c r="Q14" s="10">
        <v>0.53179045372482436</v>
      </c>
      <c r="R14" s="10">
        <v>0.60825596228000767</v>
      </c>
      <c r="S14" s="10">
        <v>5.2367997289134723E-2</v>
      </c>
      <c r="T14" s="10">
        <v>-82.26383772851473</v>
      </c>
      <c r="U14" s="10">
        <v>68.678102532982948</v>
      </c>
      <c r="V14" s="10">
        <v>64.110338340043739</v>
      </c>
      <c r="W14" s="10">
        <v>32.542750312917583</v>
      </c>
      <c r="X14" s="10">
        <v>5.0000011920928955E-2</v>
      </c>
      <c r="Y14" s="10">
        <v>5.2222225401136607E-2</v>
      </c>
      <c r="Z14" s="10">
        <v>-292338000</v>
      </c>
      <c r="AA14" s="10">
        <v>5456047100</v>
      </c>
      <c r="AB14" s="10">
        <v>-80.474992476834601</v>
      </c>
      <c r="AC14" s="10">
        <v>36.25190366382602</v>
      </c>
      <c r="AD14" s="10">
        <v>24.906954358446171</v>
      </c>
      <c r="AE14" s="10">
        <v>68.703954605237442</v>
      </c>
      <c r="AF14" s="10">
        <v>75.611951476925725</v>
      </c>
      <c r="AG14" s="10">
        <v>5.9999998126711161E-2</v>
      </c>
      <c r="AH14" s="10">
        <v>80.852344737676532</v>
      </c>
      <c r="AI14" s="10">
        <v>64.936210778898257</v>
      </c>
      <c r="AJ14" s="10">
        <v>1.0366666714350383</v>
      </c>
      <c r="AK14" s="10">
        <v>1.0337500125169754</v>
      </c>
      <c r="AL14" s="10">
        <v>0.99900000691413882</v>
      </c>
      <c r="AM14" s="10">
        <v>5.3792975610982625E-2</v>
      </c>
      <c r="AN14" s="10">
        <v>1.5726499968767167</v>
      </c>
      <c r="AO14" s="10">
        <v>1.1065859581361042</v>
      </c>
      <c r="AP14" s="10">
        <v>0.89141405569217358</v>
      </c>
      <c r="AQ14" s="10">
        <v>-0.12916932306011072</v>
      </c>
      <c r="AR14" s="10">
        <v>9.0393838425701131E-2</v>
      </c>
      <c r="AS14" s="10">
        <v>0.21538728824295594</v>
      </c>
      <c r="AT14" s="10">
        <v>75.265568819271508</v>
      </c>
      <c r="AU14" s="10">
        <v>76.687259674852996</v>
      </c>
      <c r="AV14" s="10">
        <v>22.224973247344693</v>
      </c>
      <c r="AW14" s="10">
        <v>44.19080939742576</v>
      </c>
      <c r="AX14" s="10">
        <v>-88.664658241499993</v>
      </c>
      <c r="AY14" s="10">
        <v>85.200578857354159</v>
      </c>
      <c r="AZ14" s="10">
        <v>1.0241615286707182</v>
      </c>
      <c r="BA14" s="10">
        <v>-4.5062764018089639E-2</v>
      </c>
      <c r="BB14" s="10">
        <v>69.231561299620154</v>
      </c>
      <c r="BC14" s="10">
        <v>1.0186046772386463</v>
      </c>
      <c r="BD14" s="10">
        <v>1.0126533363119781</v>
      </c>
      <c r="BE14" s="10">
        <v>-3.3319710819355808E-2</v>
      </c>
      <c r="BF14" s="10">
        <v>1.0154945852058734</v>
      </c>
      <c r="BG14" s="10">
        <v>1.0641951791608357</v>
      </c>
      <c r="BH14" s="10">
        <v>-8.5913426988449823E-2</v>
      </c>
      <c r="BI14" s="10">
        <v>-40.593333535389505</v>
      </c>
      <c r="BJ14" s="10">
        <v>1.3773524261459003</v>
      </c>
      <c r="BK14" s="10">
        <v>-0.40546163197841534</v>
      </c>
      <c r="BL14" s="10">
        <v>3.1100920327729042E-3</v>
      </c>
      <c r="BM14" s="10">
        <v>-7.629616822236473E-3</v>
      </c>
      <c r="BN14" s="10">
        <v>1.0739708855009376E-2</v>
      </c>
      <c r="BO14" s="10">
        <v>-78.495596026909098</v>
      </c>
      <c r="BP14" s="10">
        <v>77.637986251959774</v>
      </c>
      <c r="BQ14" s="10">
        <v>122171877.77777778</v>
      </c>
      <c r="BR14" s="10">
        <v>91094375</v>
      </c>
      <c r="BS14" s="10">
        <v>103171803</v>
      </c>
      <c r="BT14">
        <v>1.3928419970080403</v>
      </c>
      <c r="BU14">
        <v>2.209177295524559</v>
      </c>
      <c r="BV14" s="10">
        <v>22.222219769356549</v>
      </c>
      <c r="BW14" s="10">
        <v>43.209865641584685</v>
      </c>
      <c r="BX14" s="10">
        <v>43.209865641584685</v>
      </c>
      <c r="BY14" s="10">
        <v>56.378590103113829</v>
      </c>
      <c r="BZ14" s="10">
        <v>86.122066205851496</v>
      </c>
      <c r="CA14" s="10">
        <v>82.565028595747947</v>
      </c>
      <c r="CB14" s="10">
        <v>1</v>
      </c>
      <c r="CC14" s="10">
        <v>0</v>
      </c>
      <c r="CD14" s="10">
        <v>1</v>
      </c>
      <c r="CE14" s="10">
        <v>0</v>
      </c>
      <c r="CF14" s="10">
        <v>0</v>
      </c>
      <c r="CG14" s="10">
        <v>0</v>
      </c>
      <c r="CH14" s="10">
        <v>0</v>
      </c>
      <c r="CI14" s="10">
        <v>0</v>
      </c>
      <c r="CJ14" s="10">
        <v>0</v>
      </c>
      <c r="CK14" s="10">
        <v>-1</v>
      </c>
      <c r="CL14" s="10">
        <v>0</v>
      </c>
      <c r="CM14" s="10">
        <v>-1</v>
      </c>
      <c r="CN14" s="10">
        <v>0</v>
      </c>
      <c r="CO14" s="10">
        <v>0</v>
      </c>
      <c r="CP14" s="10">
        <v>0</v>
      </c>
      <c r="CQ14" s="10">
        <v>0</v>
      </c>
      <c r="CR14" s="10">
        <v>0</v>
      </c>
      <c r="CS14" s="10">
        <v>0</v>
      </c>
      <c r="CT14" s="10">
        <v>0</v>
      </c>
      <c r="CU14" s="10">
        <v>0</v>
      </c>
      <c r="CV14" s="10">
        <v>0</v>
      </c>
      <c r="CW14" s="10">
        <v>0</v>
      </c>
      <c r="CX14" s="10" t="s">
        <v>97</v>
      </c>
      <c r="CY14" s="1" t="str">
        <f>VLOOKUP(bovespa_diario_last_date_1[[#This Row],[Stock]],Patterns!H:J,2,0)</f>
        <v>CDLCLOSINGMARUBOZU_Bull</v>
      </c>
      <c r="CZ14" s="5">
        <f>IF(RIGHT(bovespa_diario_last_date_1[[#This Row],[PATTERN]],4)="Bull",1,IF(RIGHT(bovespa_diario_last_date_1[[#This Row],[PATTERN]],4)="Bear",-1,0))</f>
        <v>1</v>
      </c>
    </row>
    <row r="15" spans="1:104" x14ac:dyDescent="0.25">
      <c r="A15" s="4">
        <v>44491</v>
      </c>
      <c r="B15" s="10">
        <v>5.619999885559082</v>
      </c>
      <c r="C15" s="10">
        <v>5.179999828338623</v>
      </c>
      <c r="D15" s="10">
        <v>5.5399999618530273</v>
      </c>
      <c r="E15" s="10">
        <v>5.4099998474121094</v>
      </c>
      <c r="F15" s="10">
        <v>45199800</v>
      </c>
      <c r="G15" s="10">
        <v>5.4099998474121094</v>
      </c>
      <c r="H15" s="10">
        <v>5.6700000762939453</v>
      </c>
      <c r="I15" s="10">
        <v>-4.5855418938861581E-2</v>
      </c>
      <c r="J15" s="10">
        <v>-4.694006654177884E-2</v>
      </c>
      <c r="K15" s="10">
        <v>0.13000011444091797</v>
      </c>
      <c r="L15" s="10">
        <v>0.23000001907348633</v>
      </c>
      <c r="M15" s="10">
        <v>7.9999923706054688E-2</v>
      </c>
      <c r="N15" s="10">
        <v>2.374431355348898E-2</v>
      </c>
      <c r="O15" s="10">
        <v>1.769229358471188</v>
      </c>
      <c r="P15" s="10">
        <v>0.61538348677695043</v>
      </c>
      <c r="Q15" s="10">
        <v>1.0642093919417714</v>
      </c>
      <c r="R15" s="10">
        <v>0.95991523260422951</v>
      </c>
      <c r="S15" s="10">
        <v>0.11547510097670213</v>
      </c>
      <c r="T15" s="10">
        <v>-74.990862991969991</v>
      </c>
      <c r="U15" s="10">
        <v>58.862638988676935</v>
      </c>
      <c r="V15" s="10">
        <v>57.808488411968767</v>
      </c>
      <c r="W15" s="10">
        <v>40.172849284044958</v>
      </c>
      <c r="X15" s="10">
        <v>0.40999984741210938</v>
      </c>
      <c r="Y15" s="10">
        <v>0.75333325068155921</v>
      </c>
      <c r="Z15" s="10">
        <v>-45199800</v>
      </c>
      <c r="AA15" s="10">
        <v>-389468109</v>
      </c>
      <c r="AB15" s="10">
        <v>-87.087484092897867</v>
      </c>
      <c r="AC15" s="10">
        <v>80.616277836790744</v>
      </c>
      <c r="AD15" s="10">
        <v>34.555985793828469</v>
      </c>
      <c r="AE15" s="10">
        <v>-83.268397933130032</v>
      </c>
      <c r="AF15" s="10">
        <v>-79.665819035326606</v>
      </c>
      <c r="AG15" s="10">
        <v>0.40642850739615305</v>
      </c>
      <c r="AH15" s="10">
        <v>57.949794018983006</v>
      </c>
      <c r="AI15" s="10">
        <v>53.830751188092094</v>
      </c>
      <c r="AJ15" s="10">
        <v>5.7966666221618652</v>
      </c>
      <c r="AK15" s="10">
        <v>5.6887499094009399</v>
      </c>
      <c r="AL15" s="10">
        <v>5.2239999294281008</v>
      </c>
      <c r="AM15" s="10">
        <v>0.53841286718079784</v>
      </c>
      <c r="AN15" s="10">
        <v>16.375800278186798</v>
      </c>
      <c r="AO15" s="10">
        <v>6.3008256637896967</v>
      </c>
      <c r="AP15" s="10">
        <v>4.1471741950665049</v>
      </c>
      <c r="AQ15" s="10">
        <v>-0.16466281728338988</v>
      </c>
      <c r="AR15" s="10">
        <v>0.23342434158287106</v>
      </c>
      <c r="AS15" s="10">
        <v>0.41226100647343683</v>
      </c>
      <c r="AT15" s="10">
        <v>80.711858731304702</v>
      </c>
      <c r="AU15" s="10">
        <v>54.306713176096387</v>
      </c>
      <c r="AV15" s="10">
        <v>27.315458843699233</v>
      </c>
      <c r="AW15" s="10">
        <v>48.502867780239086</v>
      </c>
      <c r="AX15" s="10">
        <v>-88.671144977429122</v>
      </c>
      <c r="AY15" s="10">
        <v>86.336005844096292</v>
      </c>
      <c r="AZ15" s="10">
        <v>5.6224643796180382</v>
      </c>
      <c r="BA15" s="10">
        <v>-3.9272557892503814E-2</v>
      </c>
      <c r="BB15" s="10">
        <v>58.629466143962659</v>
      </c>
      <c r="BC15" s="10">
        <v>5.5525974442113917</v>
      </c>
      <c r="BD15" s="10">
        <v>5.4823137651097751</v>
      </c>
      <c r="BE15" s="10">
        <v>-1.3366713444965678E-2</v>
      </c>
      <c r="BF15" s="10">
        <v>5.5250478393822267</v>
      </c>
      <c r="BG15" s="10">
        <v>6.4047491663999239</v>
      </c>
      <c r="BH15" s="10">
        <v>-0.18387233771617498</v>
      </c>
      <c r="BI15" s="10">
        <v>-39.383661960827126</v>
      </c>
      <c r="BJ15" s="10">
        <v>14.268676968006545</v>
      </c>
      <c r="BK15" s="10">
        <v>-1.6374634695843868</v>
      </c>
      <c r="BL15" s="10">
        <v>2.754960482916502E-2</v>
      </c>
      <c r="BM15" s="10">
        <v>-0.11291914516386178</v>
      </c>
      <c r="BN15" s="10">
        <v>0.1404687499930268</v>
      </c>
      <c r="BO15" s="10">
        <v>-64.432438154963094</v>
      </c>
      <c r="BP15" s="10">
        <v>72.281318829020179</v>
      </c>
      <c r="BQ15" s="10">
        <v>43088955.555555552</v>
      </c>
      <c r="BR15" s="10">
        <v>37213835</v>
      </c>
      <c r="BS15" s="10">
        <v>19115922.835000001</v>
      </c>
      <c r="BT15">
        <v>4.8988062421770451E-2</v>
      </c>
      <c r="BU15">
        <v>0.21459666814774669</v>
      </c>
      <c r="BV15" s="10">
        <v>46.568618972041918</v>
      </c>
      <c r="BW15" s="10">
        <v>65.522872990680654</v>
      </c>
      <c r="BX15" s="10">
        <v>65.522872990680654</v>
      </c>
      <c r="BY15" s="10">
        <v>79.35729569955727</v>
      </c>
      <c r="BZ15" s="10">
        <v>84.859278880460792</v>
      </c>
      <c r="CA15" s="10">
        <v>88.347199771445005</v>
      </c>
      <c r="CB15" s="10">
        <v>1</v>
      </c>
      <c r="CC15" s="10">
        <v>0</v>
      </c>
      <c r="CD15" s="10">
        <v>1</v>
      </c>
      <c r="CE15" s="10">
        <v>0</v>
      </c>
      <c r="CF15" s="10">
        <v>0</v>
      </c>
      <c r="CG15" s="10">
        <v>0</v>
      </c>
      <c r="CH15" s="10">
        <v>0</v>
      </c>
      <c r="CI15" s="10">
        <v>0</v>
      </c>
      <c r="CJ15" s="10">
        <v>0</v>
      </c>
      <c r="CK15" s="10">
        <v>-1</v>
      </c>
      <c r="CL15" s="10">
        <v>0</v>
      </c>
      <c r="CM15" s="10">
        <v>-1</v>
      </c>
      <c r="CN15" s="10">
        <v>0</v>
      </c>
      <c r="CO15" s="10">
        <v>0</v>
      </c>
      <c r="CP15" s="10">
        <v>0</v>
      </c>
      <c r="CQ15" s="10">
        <v>0</v>
      </c>
      <c r="CR15" s="10">
        <v>0</v>
      </c>
      <c r="CS15" s="10">
        <v>0</v>
      </c>
      <c r="CT15" s="10">
        <v>0</v>
      </c>
      <c r="CU15" s="10">
        <v>0</v>
      </c>
      <c r="CV15" s="10">
        <v>0</v>
      </c>
      <c r="CW15" s="10">
        <v>0</v>
      </c>
      <c r="CX15" s="10" t="s">
        <v>98</v>
      </c>
      <c r="CY15" s="1" t="str">
        <f>VLOOKUP(bovespa_diario_last_date_1[[#This Row],[Stock]],Patterns!H:J,2,0)</f>
        <v>CDLLONGLEGGEDDOJI_Bull</v>
      </c>
      <c r="CZ15" s="5">
        <f>IF(RIGHT(bovespa_diario_last_date_1[[#This Row],[PATTERN]],4)="Bull",1,IF(RIGHT(bovespa_diario_last_date_1[[#This Row],[PATTERN]],4)="Bear",-1,0))</f>
        <v>1</v>
      </c>
    </row>
    <row r="16" spans="1:104" x14ac:dyDescent="0.25">
      <c r="A16" s="4">
        <v>44491</v>
      </c>
      <c r="B16" s="10">
        <v>29.659999847412109</v>
      </c>
      <c r="C16" s="10">
        <v>27.159999847412109</v>
      </c>
      <c r="D16" s="10">
        <v>29.270000457763672</v>
      </c>
      <c r="E16" s="10">
        <v>29.190000534057617</v>
      </c>
      <c r="F16" s="10">
        <v>12900600</v>
      </c>
      <c r="G16" s="10">
        <v>29.190000534057617</v>
      </c>
      <c r="H16" s="10">
        <v>29.690000534057617</v>
      </c>
      <c r="I16" s="10">
        <v>-1.6840686797106819E-2</v>
      </c>
      <c r="J16" s="10">
        <v>-1.6984103601529306E-2</v>
      </c>
      <c r="K16" s="10">
        <v>7.9999923706054688E-2</v>
      </c>
      <c r="L16" s="10">
        <v>2.0300006866455078</v>
      </c>
      <c r="M16" s="10">
        <v>0.3899993896484375</v>
      </c>
      <c r="N16" s="10">
        <v>2.7369114727605597E-3</v>
      </c>
      <c r="O16" s="10">
        <v>25.37503278258589</v>
      </c>
      <c r="P16" s="10">
        <v>4.8749970197649191</v>
      </c>
      <c r="Q16" s="10">
        <v>0.51997676448253061</v>
      </c>
      <c r="R16" s="10">
        <v>0.54286157062407581</v>
      </c>
      <c r="S16" s="10">
        <v>-0.19175505186858283</v>
      </c>
      <c r="T16" s="10">
        <v>-84.179118912945228</v>
      </c>
      <c r="U16" s="10">
        <v>-82.491972977553417</v>
      </c>
      <c r="V16" s="10">
        <v>-78.264353113865738</v>
      </c>
      <c r="W16" s="10">
        <v>-74.649353935387538</v>
      </c>
      <c r="X16" s="10">
        <v>-6.6700000762939453</v>
      </c>
      <c r="Y16" s="10">
        <v>-3.7166663275824652</v>
      </c>
      <c r="Z16" s="10">
        <v>-12900600</v>
      </c>
      <c r="AA16" s="10">
        <v>346577000</v>
      </c>
      <c r="AB16" s="10">
        <v>-84.270766245984504</v>
      </c>
      <c r="AC16" s="10">
        <v>-72.726811396289548</v>
      </c>
      <c r="AD16" s="10">
        <v>22.077982780726334</v>
      </c>
      <c r="AE16" s="10">
        <v>87.309436975659551</v>
      </c>
      <c r="AF16" s="10">
        <v>57.690274830342524</v>
      </c>
      <c r="AG16" s="10">
        <v>1.5342860903058733</v>
      </c>
      <c r="AH16" s="10">
        <v>70.925854346763117</v>
      </c>
      <c r="AI16" s="10">
        <v>-37.344179934111018</v>
      </c>
      <c r="AJ16" s="10">
        <v>29.853333791097004</v>
      </c>
      <c r="AK16" s="10">
        <v>32.558750152587891</v>
      </c>
      <c r="AL16" s="10">
        <v>35.065999984741211</v>
      </c>
      <c r="AM16" s="10">
        <v>2.8258084420139604</v>
      </c>
      <c r="AN16" s="10">
        <v>39.528599815368651</v>
      </c>
      <c r="AO16" s="10">
        <v>40.717616868769134</v>
      </c>
      <c r="AP16" s="10">
        <v>29.414383100713291</v>
      </c>
      <c r="AQ16" s="10">
        <v>-0.39491661952049634</v>
      </c>
      <c r="AR16" s="10">
        <v>-7.6869668568136556E-3</v>
      </c>
      <c r="AS16" s="10">
        <v>0.32234169203714103</v>
      </c>
      <c r="AT16" s="10">
        <v>84.125855571501006</v>
      </c>
      <c r="AU16" s="10">
        <v>66.30775048959552</v>
      </c>
      <c r="AV16" s="10">
        <v>3.7224465878110493</v>
      </c>
      <c r="AW16" s="10">
        <v>21.187969058429871</v>
      </c>
      <c r="AX16" s="10">
        <v>-87.466001442305384</v>
      </c>
      <c r="AY16" s="10">
        <v>-85.49780272456448</v>
      </c>
      <c r="AZ16" s="10">
        <v>32.176296927714944</v>
      </c>
      <c r="BA16" s="10">
        <v>-0.10230545868517701</v>
      </c>
      <c r="BB16" s="10">
        <v>-77.733200155748804</v>
      </c>
      <c r="BC16" s="10">
        <v>32.849516627552944</v>
      </c>
      <c r="BD16" s="10">
        <v>34.042353777547277</v>
      </c>
      <c r="BE16" s="10">
        <v>-0.16623340715010079</v>
      </c>
      <c r="BF16" s="10">
        <v>34.464566394863027</v>
      </c>
      <c r="BG16" s="10">
        <v>35.890294695150956</v>
      </c>
      <c r="BH16" s="10">
        <v>-0.229540734446912</v>
      </c>
      <c r="BI16" s="10">
        <v>-52.794214921061972</v>
      </c>
      <c r="BJ16" s="10">
        <v>37.658009293803076</v>
      </c>
      <c r="BK16" s="10">
        <v>-0.29009964387857262</v>
      </c>
      <c r="BL16" s="10">
        <v>-1.615049767310083</v>
      </c>
      <c r="BM16" s="10">
        <v>-0.8966299248313756</v>
      </c>
      <c r="BN16" s="10">
        <v>-0.71841984247870738</v>
      </c>
      <c r="BO16" s="10">
        <v>-85.923700160749803</v>
      </c>
      <c r="BP16" s="10">
        <v>-81.839513548609574</v>
      </c>
      <c r="BQ16" s="10">
        <v>7623911.111111111</v>
      </c>
      <c r="BR16" s="10">
        <v>5533410</v>
      </c>
      <c r="BS16" s="10">
        <v>6256857.5</v>
      </c>
      <c r="BT16">
        <v>0.69212361109491782</v>
      </c>
      <c r="BU16">
        <v>1.331401432389792</v>
      </c>
      <c r="BV16" s="10">
        <v>17.424896315559575</v>
      </c>
      <c r="BW16" s="10">
        <v>7.8412709966213496</v>
      </c>
      <c r="BX16" s="10">
        <v>7.8412709966213496</v>
      </c>
      <c r="BY16" s="10">
        <v>5.0376249420630597</v>
      </c>
      <c r="BZ16" s="10">
        <v>-84.987524613290788</v>
      </c>
      <c r="CA16" s="10">
        <v>-87.943529050067141</v>
      </c>
      <c r="CB16" s="10">
        <v>0</v>
      </c>
      <c r="CC16" s="10">
        <v>0</v>
      </c>
      <c r="CD16" s="10">
        <v>0</v>
      </c>
      <c r="CE16" s="10">
        <v>0</v>
      </c>
      <c r="CF16" s="10">
        <v>0</v>
      </c>
      <c r="CG16" s="10">
        <v>0</v>
      </c>
      <c r="CH16" s="10">
        <v>0</v>
      </c>
      <c r="CI16" s="10">
        <v>0</v>
      </c>
      <c r="CJ16" s="10">
        <v>0</v>
      </c>
      <c r="CK16" s="10">
        <v>0</v>
      </c>
      <c r="CL16" s="10">
        <v>0</v>
      </c>
      <c r="CM16" s="10">
        <v>0</v>
      </c>
      <c r="CN16" s="10">
        <v>0</v>
      </c>
      <c r="CO16" s="10">
        <v>0</v>
      </c>
      <c r="CP16" s="10">
        <v>0</v>
      </c>
      <c r="CQ16" s="10">
        <v>0</v>
      </c>
      <c r="CR16" s="10">
        <v>0</v>
      </c>
      <c r="CS16" s="10">
        <v>0</v>
      </c>
      <c r="CT16" s="10">
        <v>0</v>
      </c>
      <c r="CU16" s="10">
        <v>0</v>
      </c>
      <c r="CV16" s="10">
        <v>0</v>
      </c>
      <c r="CW16" s="10">
        <v>0</v>
      </c>
      <c r="CX16" s="10" t="s">
        <v>99</v>
      </c>
      <c r="CY16" s="1" t="str">
        <f>VLOOKUP(bovespa_diario_last_date_1[[#This Row],[Stock]],Patterns!H:J,2,0)</f>
        <v>NO_PATTERN</v>
      </c>
      <c r="CZ16" s="5">
        <f>IF(RIGHT(bovespa_diario_last_date_1[[#This Row],[PATTERN]],4)="Bull",1,IF(RIGHT(bovespa_diario_last_date_1[[#This Row],[PATTERN]],4)="Bear",-1,0))</f>
        <v>0</v>
      </c>
    </row>
    <row r="17" spans="1:104" x14ac:dyDescent="0.25">
      <c r="A17" s="4">
        <v>44491</v>
      </c>
      <c r="B17" s="10">
        <v>2.3900001049041748</v>
      </c>
      <c r="C17" s="10">
        <v>2.2599999904632568</v>
      </c>
      <c r="D17" s="10">
        <v>2.3299999237060547</v>
      </c>
      <c r="E17" s="10">
        <v>2.3599998950958252</v>
      </c>
      <c r="F17" s="10">
        <v>82808700</v>
      </c>
      <c r="G17" s="10">
        <v>2.3599998950958252</v>
      </c>
      <c r="H17" s="10">
        <v>2.3399999141693115</v>
      </c>
      <c r="I17" s="10">
        <v>8.5470007094481382E-3</v>
      </c>
      <c r="J17" s="10">
        <v>8.5106818967682057E-3</v>
      </c>
      <c r="K17" s="10">
        <v>2.9999971389770508E-2</v>
      </c>
      <c r="L17" s="10">
        <v>6.9999933242797852E-2</v>
      </c>
      <c r="M17" s="10">
        <v>3.0000209808349609E-2</v>
      </c>
      <c r="N17" s="10">
        <v>1.2793165266021004E-2</v>
      </c>
      <c r="O17" s="10">
        <v>2.3333333333333335</v>
      </c>
      <c r="P17" s="10">
        <v>1.0000079472935492</v>
      </c>
      <c r="Q17" s="10">
        <v>0.47082089194572341</v>
      </c>
      <c r="R17" s="10">
        <v>0.7494009515573048</v>
      </c>
      <c r="S17" s="10">
        <v>2.1414074823655815E-2</v>
      </c>
      <c r="T17" s="10">
        <v>-75.762177678492975</v>
      </c>
      <c r="U17" s="10">
        <v>-61.400740911381391</v>
      </c>
      <c r="V17" s="10">
        <v>21.578347878558766</v>
      </c>
      <c r="W17" s="10">
        <v>24.417103398830044</v>
      </c>
      <c r="X17" s="10">
        <v>-0.28000020980834961</v>
      </c>
      <c r="Y17" s="10">
        <v>0.10777775446573894</v>
      </c>
      <c r="Z17" s="10">
        <v>82808700</v>
      </c>
      <c r="AA17" s="10">
        <v>-474017500</v>
      </c>
      <c r="AB17" s="10">
        <v>18.22943086689089</v>
      </c>
      <c r="AC17" s="10">
        <v>8.4923155534260797</v>
      </c>
      <c r="AD17" s="10">
        <v>27.546178960326735</v>
      </c>
      <c r="AE17" s="10">
        <v>-86.114241057796974</v>
      </c>
      <c r="AF17" s="10">
        <v>-85.61173848720972</v>
      </c>
      <c r="AG17" s="10">
        <v>0.14857144015175955</v>
      </c>
      <c r="AH17" s="10">
        <v>58.067150222520326</v>
      </c>
      <c r="AI17" s="10">
        <v>63.883931632531713</v>
      </c>
      <c r="AJ17" s="10">
        <v>2.3733332951863608</v>
      </c>
      <c r="AK17" s="10">
        <v>2.4637499451637268</v>
      </c>
      <c r="AL17" s="10">
        <v>2.4149999737739565</v>
      </c>
      <c r="AM17" s="10">
        <v>0.11203854300007959</v>
      </c>
      <c r="AN17" s="10">
        <v>3.3980660605430604</v>
      </c>
      <c r="AO17" s="10">
        <v>2.6390770597741158</v>
      </c>
      <c r="AP17" s="10">
        <v>2.1909228877737972</v>
      </c>
      <c r="AQ17" s="10">
        <v>-0.11825304113708825</v>
      </c>
      <c r="AR17" s="10">
        <v>7.1642802897312341E-2</v>
      </c>
      <c r="AS17" s="10">
        <v>0.18557108772965383</v>
      </c>
      <c r="AT17" s="10">
        <v>-41.637095325581129</v>
      </c>
      <c r="AU17" s="10">
        <v>71.984501140326515</v>
      </c>
      <c r="AV17" s="10">
        <v>34.126338872004027</v>
      </c>
      <c r="AW17" s="10">
        <v>44.156308895383127</v>
      </c>
      <c r="AX17" s="10">
        <v>-87.097293943160494</v>
      </c>
      <c r="AY17" s="10">
        <v>65.212612521408786</v>
      </c>
      <c r="AZ17" s="10">
        <v>2.4263427717349337</v>
      </c>
      <c r="BA17" s="10">
        <v>-2.8111389655979098E-2</v>
      </c>
      <c r="BB17" s="10">
        <v>3.6957404702244623</v>
      </c>
      <c r="BC17" s="10">
        <v>2.4317411804695808</v>
      </c>
      <c r="BD17" s="10">
        <v>2.4530044039845333</v>
      </c>
      <c r="BE17" s="10">
        <v>-3.9408691958832398E-2</v>
      </c>
      <c r="BF17" s="10">
        <v>2.4758136688890886</v>
      </c>
      <c r="BG17" s="10">
        <v>2.6384386353443787</v>
      </c>
      <c r="BH17" s="10">
        <v>-0.11798252229890367</v>
      </c>
      <c r="BI17" s="10">
        <v>-34.632682653760732</v>
      </c>
      <c r="BJ17" s="10">
        <v>3.3381487915484707</v>
      </c>
      <c r="BK17" s="10">
        <v>-0.41446988980180816</v>
      </c>
      <c r="BL17" s="10">
        <v>-4.4072488419507838E-2</v>
      </c>
      <c r="BM17" s="10">
        <v>-5.2957153983972702E-2</v>
      </c>
      <c r="BN17" s="10">
        <v>8.8846655644648637E-3</v>
      </c>
      <c r="BO17" s="10">
        <v>-85.916999898145306</v>
      </c>
      <c r="BP17" s="10">
        <v>18.30710920849722</v>
      </c>
      <c r="BQ17" s="10">
        <v>47731300</v>
      </c>
      <c r="BR17" s="10">
        <v>37439000</v>
      </c>
      <c r="BS17" s="10">
        <v>32940231.5</v>
      </c>
      <c r="BT17">
        <v>0.7348930366447175</v>
      </c>
      <c r="BU17">
        <v>1.2118299099869119</v>
      </c>
      <c r="BV17" s="10">
        <v>28.260840269931272</v>
      </c>
      <c r="BW17" s="10">
        <v>31.159405266631428</v>
      </c>
      <c r="BX17" s="10">
        <v>31.159405266631428</v>
      </c>
      <c r="BY17" s="10">
        <v>38.164234682183462</v>
      </c>
      <c r="BZ17" s="10">
        <v>-88.120757226929385</v>
      </c>
      <c r="CA17" s="10">
        <v>85.616848995070612</v>
      </c>
      <c r="CB17" s="10">
        <v>1</v>
      </c>
      <c r="CC17" s="10">
        <v>0</v>
      </c>
      <c r="CD17" s="10">
        <v>1</v>
      </c>
      <c r="CE17" s="10">
        <v>0</v>
      </c>
      <c r="CF17" s="10">
        <v>0</v>
      </c>
      <c r="CG17" s="10">
        <v>0</v>
      </c>
      <c r="CH17" s="10">
        <v>0</v>
      </c>
      <c r="CI17" s="10">
        <v>0</v>
      </c>
      <c r="CJ17" s="10">
        <v>0</v>
      </c>
      <c r="CK17" s="10">
        <v>-1</v>
      </c>
      <c r="CL17" s="10">
        <v>0</v>
      </c>
      <c r="CM17" s="10">
        <v>-1</v>
      </c>
      <c r="CN17" s="10">
        <v>0</v>
      </c>
      <c r="CO17" s="10">
        <v>0</v>
      </c>
      <c r="CP17" s="10">
        <v>0</v>
      </c>
      <c r="CQ17" s="10">
        <v>0</v>
      </c>
      <c r="CR17" s="10">
        <v>0</v>
      </c>
      <c r="CS17" s="10">
        <v>0</v>
      </c>
      <c r="CT17" s="10">
        <v>0</v>
      </c>
      <c r="CU17" s="10">
        <v>0</v>
      </c>
      <c r="CV17" s="10">
        <v>0</v>
      </c>
      <c r="CW17" s="10">
        <v>0</v>
      </c>
      <c r="CX17" s="10" t="s">
        <v>100</v>
      </c>
      <c r="CY17" s="1" t="str">
        <f>VLOOKUP(bovespa_diario_last_date_1[[#This Row],[Stock]],Patterns!H:J,2,0)</f>
        <v>CDLSHORTLINE_Bear</v>
      </c>
      <c r="CZ17" s="5">
        <f>IF(RIGHT(bovespa_diario_last_date_1[[#This Row],[PATTERN]],4)="Bull",1,IF(RIGHT(bovespa_diario_last_date_1[[#This Row],[PATTERN]],4)="Bear",-1,0))</f>
        <v>-1</v>
      </c>
    </row>
    <row r="18" spans="1:104" x14ac:dyDescent="0.25">
      <c r="A18" s="4">
        <v>44491</v>
      </c>
      <c r="B18" s="10">
        <v>28.360000610351563</v>
      </c>
      <c r="C18" s="10">
        <v>26.819999694824219</v>
      </c>
      <c r="D18" s="10">
        <v>28.100000381469727</v>
      </c>
      <c r="E18" s="10">
        <v>27.899999618530273</v>
      </c>
      <c r="F18" s="10">
        <v>43723800</v>
      </c>
      <c r="G18" s="10">
        <v>27.899999618530273</v>
      </c>
      <c r="H18" s="10">
        <v>28.459999084472656</v>
      </c>
      <c r="I18" s="10">
        <v>-1.9676721150982401E-2</v>
      </c>
      <c r="J18" s="10">
        <v>-1.9872885338220198E-2</v>
      </c>
      <c r="K18" s="10">
        <v>0.20000076293945313</v>
      </c>
      <c r="L18" s="10">
        <v>1.0799999237060547</v>
      </c>
      <c r="M18" s="10">
        <v>0.26000022888183594</v>
      </c>
      <c r="N18" s="10">
        <v>7.1428843906947547E-3</v>
      </c>
      <c r="O18" s="10">
        <v>5.3999790192450741</v>
      </c>
      <c r="P18" s="10">
        <v>1.2999961853172863</v>
      </c>
      <c r="Q18" s="10">
        <v>0.45041910408474917</v>
      </c>
      <c r="R18" s="10">
        <v>0.33188397057559998</v>
      </c>
      <c r="S18" s="10">
        <v>-4.5542060247729596E-2</v>
      </c>
      <c r="T18" s="10">
        <v>-84.74947640847239</v>
      </c>
      <c r="U18" s="10">
        <v>-80.051147828422785</v>
      </c>
      <c r="V18" s="10">
        <v>-55.534399118707022</v>
      </c>
      <c r="W18" s="10">
        <v>57.556826527678716</v>
      </c>
      <c r="X18" s="10">
        <v>-1.8900012969970703</v>
      </c>
      <c r="Y18" s="10">
        <v>0.5877774556477865</v>
      </c>
      <c r="Z18" s="10">
        <v>-43723800</v>
      </c>
      <c r="AA18" s="10">
        <v>816795200</v>
      </c>
      <c r="AB18" s="10">
        <v>-83.730664153128203</v>
      </c>
      <c r="AC18" s="10">
        <v>-58.082621987818897</v>
      </c>
      <c r="AD18" s="10">
        <v>20.648222518535032</v>
      </c>
      <c r="AE18" s="10">
        <v>-83.512336781845889</v>
      </c>
      <c r="AF18" s="10">
        <v>63.395737611513447</v>
      </c>
      <c r="AG18" s="10">
        <v>0.99357114519391743</v>
      </c>
      <c r="AH18" s="10">
        <v>78.291476349056481</v>
      </c>
      <c r="AI18" s="10">
        <v>0.48318888089877127</v>
      </c>
      <c r="AJ18" s="10">
        <v>28.619999567667644</v>
      </c>
      <c r="AK18" s="10">
        <v>29.456249713897705</v>
      </c>
      <c r="AL18" s="10">
        <v>29.054999923706056</v>
      </c>
      <c r="AM18" s="10">
        <v>0.92028334097570974</v>
      </c>
      <c r="AN18" s="10">
        <v>25.431707162857055</v>
      </c>
      <c r="AO18" s="10">
        <v>30.895566605657475</v>
      </c>
      <c r="AP18" s="10">
        <v>27.214433241754637</v>
      </c>
      <c r="AQ18" s="10">
        <v>-0.10736799383816634</v>
      </c>
      <c r="AR18" s="10">
        <v>2.457227190498975E-2</v>
      </c>
      <c r="AS18" s="10">
        <v>0.12669534928820944</v>
      </c>
      <c r="AT18" s="10">
        <v>-82.054609555132558</v>
      </c>
      <c r="AU18" s="10">
        <v>-46.828600049136242</v>
      </c>
      <c r="AV18" s="10">
        <v>16.976952720009308</v>
      </c>
      <c r="AW18" s="10">
        <v>39.254559282875732</v>
      </c>
      <c r="AX18" s="10">
        <v>-88.633950131172384</v>
      </c>
      <c r="AY18" s="10">
        <v>-85.675791072150417</v>
      </c>
      <c r="AZ18" s="10">
        <v>29.053803526610803</v>
      </c>
      <c r="BA18" s="10">
        <v>-4.1354979349684677E-2</v>
      </c>
      <c r="BB18" s="10">
        <v>-0.89574471073552664</v>
      </c>
      <c r="BC18" s="10">
        <v>29.062224614930813</v>
      </c>
      <c r="BD18" s="10">
        <v>28.822801710401301</v>
      </c>
      <c r="BE18" s="10">
        <v>-3.3075344246891389E-2</v>
      </c>
      <c r="BF18" s="10">
        <v>28.670742422496822</v>
      </c>
      <c r="BG18" s="10">
        <v>28.096401356700955</v>
      </c>
      <c r="BH18" s="10">
        <v>-7.039488919571099E-3</v>
      </c>
      <c r="BI18" s="10">
        <v>70.885756940552056</v>
      </c>
      <c r="BJ18" s="10">
        <v>25.801426011126299</v>
      </c>
      <c r="BK18" s="10">
        <v>7.5217693050080539E-2</v>
      </c>
      <c r="BL18" s="10">
        <v>0.39148219243399041</v>
      </c>
      <c r="BM18" s="10">
        <v>0.59420247694883799</v>
      </c>
      <c r="BN18" s="10">
        <v>-0.20272028451484758</v>
      </c>
      <c r="BO18" s="10">
        <v>-86.503365188597101</v>
      </c>
      <c r="BP18" s="10">
        <v>-81.730061264160327</v>
      </c>
      <c r="BQ18" s="10">
        <v>21613444.444444444</v>
      </c>
      <c r="BR18" s="10">
        <v>19001260</v>
      </c>
      <c r="BS18" s="10">
        <v>21790847</v>
      </c>
      <c r="BT18">
        <v>1.022990833894541</v>
      </c>
      <c r="BU18">
        <v>1.3011000323136463</v>
      </c>
      <c r="BV18" s="10">
        <v>26.535626650770531</v>
      </c>
      <c r="BW18" s="10">
        <v>33.067434496654407</v>
      </c>
      <c r="BX18" s="10">
        <v>33.067434496654407</v>
      </c>
      <c r="BY18" s="10">
        <v>42.724193013602267</v>
      </c>
      <c r="BZ18" s="10">
        <v>-87.502559465534745</v>
      </c>
      <c r="CA18" s="10">
        <v>-81.129869191017136</v>
      </c>
      <c r="CB18" s="10">
        <v>0</v>
      </c>
      <c r="CC18" s="10">
        <v>0</v>
      </c>
      <c r="CD18" s="10">
        <v>0</v>
      </c>
      <c r="CE18" s="10">
        <v>1</v>
      </c>
      <c r="CF18" s="10">
        <v>0</v>
      </c>
      <c r="CG18" s="10">
        <v>1</v>
      </c>
      <c r="CH18" s="10">
        <v>0</v>
      </c>
      <c r="CI18" s="10">
        <v>0</v>
      </c>
      <c r="CJ18" s="10">
        <v>0</v>
      </c>
      <c r="CK18" s="10">
        <v>0</v>
      </c>
      <c r="CL18" s="10">
        <v>0</v>
      </c>
      <c r="CM18" s="10">
        <v>0</v>
      </c>
      <c r="CN18" s="10">
        <v>0</v>
      </c>
      <c r="CO18" s="10">
        <v>0</v>
      </c>
      <c r="CP18" s="10">
        <v>0</v>
      </c>
      <c r="CQ18" s="10">
        <v>0</v>
      </c>
      <c r="CR18" s="10">
        <v>0</v>
      </c>
      <c r="CS18" s="10">
        <v>0</v>
      </c>
      <c r="CT18" s="10">
        <v>0</v>
      </c>
      <c r="CU18" s="10">
        <v>0</v>
      </c>
      <c r="CV18" s="10">
        <v>0</v>
      </c>
      <c r="CW18" s="10">
        <v>0</v>
      </c>
      <c r="CX18" s="10" t="s">
        <v>101</v>
      </c>
      <c r="CY18" s="1" t="str">
        <f>VLOOKUP(bovespa_diario_last_date_1[[#This Row],[Stock]],Patterns!H:J,2,0)</f>
        <v>CDLBELTHOLD_Bull</v>
      </c>
      <c r="CZ18" s="5">
        <f>IF(RIGHT(bovespa_diario_last_date_1[[#This Row],[PATTERN]],4)="Bull",1,IF(RIGHT(bovespa_diario_last_date_1[[#This Row],[PATTERN]],4)="Bear",-1,0))</f>
        <v>1</v>
      </c>
    </row>
    <row r="19" spans="1:104" x14ac:dyDescent="0.25">
      <c r="A19" s="4">
        <v>44491</v>
      </c>
      <c r="B19" s="10">
        <v>37.770000457763672</v>
      </c>
      <c r="C19" s="10">
        <v>36.310001373291016</v>
      </c>
      <c r="D19" s="10">
        <v>36.709999084472656</v>
      </c>
      <c r="E19" s="10">
        <v>37.319999694824219</v>
      </c>
      <c r="F19" s="10">
        <v>13107800</v>
      </c>
      <c r="G19" s="10">
        <v>37.319999694824219</v>
      </c>
      <c r="H19" s="10">
        <v>37.389999389648438</v>
      </c>
      <c r="I19" s="10">
        <v>-1.8721501997027712E-3</v>
      </c>
      <c r="J19" s="10">
        <v>-1.8739048632256795E-3</v>
      </c>
      <c r="K19" s="10">
        <v>0.6100006103515625</v>
      </c>
      <c r="L19" s="10">
        <v>0.39999771118164063</v>
      </c>
      <c r="M19" s="10">
        <v>0.45000076293945313</v>
      </c>
      <c r="N19" s="10">
        <v>1.6479822245307248E-2</v>
      </c>
      <c r="O19" s="10">
        <v>0.65573329664557123</v>
      </c>
      <c r="P19" s="10">
        <v>0.73770543062260796</v>
      </c>
      <c r="Q19" s="10">
        <v>0.30647313583564278</v>
      </c>
      <c r="R19" s="10">
        <v>0.3256959586127558</v>
      </c>
      <c r="S19" s="10">
        <v>1.6752591952806008E-2</v>
      </c>
      <c r="T19" s="10">
        <v>-79.913741900611058</v>
      </c>
      <c r="U19" s="10">
        <v>-48.721021934941433</v>
      </c>
      <c r="V19" s="10">
        <v>45.914677874757857</v>
      </c>
      <c r="W19" s="10">
        <v>67.97526346405526</v>
      </c>
      <c r="X19" s="10">
        <v>-6.999969482421875E-2</v>
      </c>
      <c r="Y19" s="10">
        <v>1.0066663953993056</v>
      </c>
      <c r="Z19" s="10">
        <v>-13107800</v>
      </c>
      <c r="AA19" s="10">
        <v>424090100</v>
      </c>
      <c r="AB19" s="10">
        <v>-75.485962354263805</v>
      </c>
      <c r="AC19" s="10">
        <v>76.554378654046388</v>
      </c>
      <c r="AD19" s="10">
        <v>41.827341940941096</v>
      </c>
      <c r="AE19" s="10">
        <v>-26.050276344845766</v>
      </c>
      <c r="AF19" s="10">
        <v>81.782561019024925</v>
      </c>
      <c r="AG19" s="10">
        <v>1.2378575461251395</v>
      </c>
      <c r="AH19" s="10">
        <v>-63.808296888953599</v>
      </c>
      <c r="AI19" s="10">
        <v>-3.9426152589302514</v>
      </c>
      <c r="AJ19" s="10">
        <v>37.623332977294922</v>
      </c>
      <c r="AK19" s="10">
        <v>37.946249961853027</v>
      </c>
      <c r="AL19" s="10">
        <v>37.190500259399414</v>
      </c>
      <c r="AM19" s="10">
        <v>1.0040573001084876</v>
      </c>
      <c r="AN19" s="10">
        <v>29.111078996658325</v>
      </c>
      <c r="AO19" s="10">
        <v>39.198614859616391</v>
      </c>
      <c r="AP19" s="10">
        <v>35.182385659182437</v>
      </c>
      <c r="AQ19" s="10">
        <v>-5.0338027335319391E-2</v>
      </c>
      <c r="AR19" s="10">
        <v>5.7277975699936576E-2</v>
      </c>
      <c r="AS19" s="10">
        <v>0.10799072807360006</v>
      </c>
      <c r="AT19" s="10">
        <v>-87.327522258585674</v>
      </c>
      <c r="AU19" s="10">
        <v>-81.011832543763376</v>
      </c>
      <c r="AV19" s="10">
        <v>26.252160536131413</v>
      </c>
      <c r="AW19" s="10">
        <v>54.701558819123363</v>
      </c>
      <c r="AX19" s="10">
        <v>-87.825911597493828</v>
      </c>
      <c r="AY19" s="10">
        <v>-81.823775480371552</v>
      </c>
      <c r="AZ19" s="10">
        <v>37.636647581408333</v>
      </c>
      <c r="BA19" s="10">
        <v>-8.4846701279054151E-3</v>
      </c>
      <c r="BB19" s="10">
        <v>66.424122387808339</v>
      </c>
      <c r="BC19" s="10">
        <v>37.474652111321703</v>
      </c>
      <c r="BD19" s="10">
        <v>36.745250572368946</v>
      </c>
      <c r="BE19" s="10">
        <v>1.540056610812307E-2</v>
      </c>
      <c r="BF19" s="10">
        <v>36.320764135348412</v>
      </c>
      <c r="BG19" s="10">
        <v>34.650294909631434</v>
      </c>
      <c r="BH19" s="10">
        <v>7.1535498580484636E-2</v>
      </c>
      <c r="BI19" s="10">
        <v>78.670536483529602</v>
      </c>
      <c r="BJ19" s="10">
        <v>29.748429692618309</v>
      </c>
      <c r="BK19" s="10">
        <v>0.20288237042124049</v>
      </c>
      <c r="BL19" s="10">
        <v>1.1538879759732907</v>
      </c>
      <c r="BM19" s="10">
        <v>1.3411393244763745</v>
      </c>
      <c r="BN19" s="10">
        <v>-0.18725134850308378</v>
      </c>
      <c r="BO19" s="10">
        <v>-87.658725678948173</v>
      </c>
      <c r="BP19" s="10">
        <v>-86.368255487628915</v>
      </c>
      <c r="BQ19" s="10">
        <v>17922222.222222224</v>
      </c>
      <c r="BR19" s="10">
        <v>15771800</v>
      </c>
      <c r="BS19" s="10">
        <v>13338343</v>
      </c>
      <c r="BT19">
        <v>-0.26862864228146321</v>
      </c>
      <c r="BU19">
        <v>-0.1689090655473694</v>
      </c>
      <c r="BV19" s="10">
        <v>48.209352205745581</v>
      </c>
      <c r="BW19" s="10">
        <v>56.565638520234181</v>
      </c>
      <c r="BX19" s="10">
        <v>56.565638520234181</v>
      </c>
      <c r="BY19" s="10">
        <v>65.17040973136271</v>
      </c>
      <c r="BZ19" s="10">
        <v>-85.287801959630485</v>
      </c>
      <c r="CA19" s="10">
        <v>-35.576390503834006</v>
      </c>
      <c r="CB19" s="10">
        <v>1</v>
      </c>
      <c r="CC19" s="10">
        <v>0</v>
      </c>
      <c r="CD19" s="10">
        <v>1</v>
      </c>
      <c r="CE19" s="10">
        <v>0</v>
      </c>
      <c r="CF19" s="10">
        <v>0</v>
      </c>
      <c r="CG19" s="10">
        <v>0</v>
      </c>
      <c r="CH19" s="10">
        <v>0</v>
      </c>
      <c r="CI19" s="10">
        <v>0</v>
      </c>
      <c r="CJ19" s="10">
        <v>0</v>
      </c>
      <c r="CK19" s="10">
        <v>-1</v>
      </c>
      <c r="CL19" s="10">
        <v>0</v>
      </c>
      <c r="CM19" s="10">
        <v>-1</v>
      </c>
      <c r="CN19" s="10">
        <v>0</v>
      </c>
      <c r="CO19" s="10">
        <v>0</v>
      </c>
      <c r="CP19" s="10">
        <v>0</v>
      </c>
      <c r="CQ19" s="10">
        <v>0</v>
      </c>
      <c r="CR19" s="10">
        <v>0</v>
      </c>
      <c r="CS19" s="10">
        <v>0</v>
      </c>
      <c r="CT19" s="10">
        <v>0</v>
      </c>
      <c r="CU19" s="10">
        <v>0</v>
      </c>
      <c r="CV19" s="10">
        <v>0</v>
      </c>
      <c r="CW19" s="10">
        <v>0</v>
      </c>
      <c r="CX19" s="10" t="s">
        <v>102</v>
      </c>
      <c r="CY19" s="1" t="str">
        <f>VLOOKUP(bovespa_diario_last_date_1[[#This Row],[Stock]],Patterns!H:J,2,0)</f>
        <v>CDLENGULFING_Bear</v>
      </c>
      <c r="CZ19" s="5">
        <f>IF(RIGHT(bovespa_diario_last_date_1[[#This Row],[PATTERN]],4)="Bull",1,IF(RIGHT(bovespa_diario_last_date_1[[#This Row],[PATTERN]],4)="Bear",-1,0))</f>
        <v>-1</v>
      </c>
    </row>
    <row r="20" spans="1:104" x14ac:dyDescent="0.25">
      <c r="A20" s="4">
        <v>44491</v>
      </c>
      <c r="B20" s="10">
        <v>23.590000152587891</v>
      </c>
      <c r="C20" s="10">
        <v>21.479999542236328</v>
      </c>
      <c r="D20" s="10">
        <v>23.590000152587891</v>
      </c>
      <c r="E20" s="10">
        <v>22.930000305175781</v>
      </c>
      <c r="F20" s="10">
        <v>36861700</v>
      </c>
      <c r="G20" s="10">
        <v>22.930000305175781</v>
      </c>
      <c r="H20" s="10">
        <v>23.229999542236328</v>
      </c>
      <c r="I20" s="10">
        <v>-1.2914302323385529E-2</v>
      </c>
      <c r="J20" s="10">
        <v>-1.2998416897775453E-2</v>
      </c>
      <c r="K20" s="10">
        <v>0.65999984741210938</v>
      </c>
      <c r="L20" s="10">
        <v>1.4500007629394531</v>
      </c>
      <c r="M20" s="10">
        <v>0</v>
      </c>
      <c r="N20" s="10">
        <v>2.8374885680034972E-2</v>
      </c>
      <c r="O20" s="10">
        <v>2.1969713608646648</v>
      </c>
      <c r="P20" s="10">
        <v>0</v>
      </c>
      <c r="Q20" s="10">
        <v>0.40241900934652042</v>
      </c>
      <c r="R20" s="10">
        <v>0.55922364864614238</v>
      </c>
      <c r="S20" s="10">
        <v>-6.2137006486319604E-2</v>
      </c>
      <c r="T20" s="10">
        <v>-84.562817611566643</v>
      </c>
      <c r="U20" s="10">
        <v>-72.562362190276772</v>
      </c>
      <c r="V20" s="10">
        <v>-43.997266551221053</v>
      </c>
      <c r="W20" s="10">
        <v>-64.539936353213562</v>
      </c>
      <c r="X20" s="10">
        <v>-2.7199993133544922</v>
      </c>
      <c r="Y20" s="10">
        <v>-0.61999956766764319</v>
      </c>
      <c r="Z20" s="10">
        <v>-36861700</v>
      </c>
      <c r="AA20" s="10">
        <v>-158892300</v>
      </c>
      <c r="AB20" s="10">
        <v>-87.436491303763248</v>
      </c>
      <c r="AC20" s="10">
        <v>75.920282580489243</v>
      </c>
      <c r="AD20" s="10">
        <v>30.855062156947497</v>
      </c>
      <c r="AE20" s="10">
        <v>-30.395497080387106</v>
      </c>
      <c r="AF20" s="10">
        <v>-79.391198540104739</v>
      </c>
      <c r="AG20" s="10">
        <v>1.4114289964948381</v>
      </c>
      <c r="AH20" s="10">
        <v>85.635968722356097</v>
      </c>
      <c r="AI20" s="10">
        <v>83.147780460812058</v>
      </c>
      <c r="AJ20" s="10">
        <v>23.650000254313152</v>
      </c>
      <c r="AK20" s="10">
        <v>24.507500171661377</v>
      </c>
      <c r="AL20" s="10">
        <v>24.975000000000001</v>
      </c>
      <c r="AM20" s="10">
        <v>1.0569246443577101</v>
      </c>
      <c r="AN20" s="10">
        <v>26.940492601394652</v>
      </c>
      <c r="AO20" s="10">
        <v>27.088849288715423</v>
      </c>
      <c r="AP20" s="10">
        <v>22.86115071128458</v>
      </c>
      <c r="AQ20" s="10">
        <v>-0.1813715188918206</v>
      </c>
      <c r="AR20" s="10">
        <v>3.0025989086297773E-3</v>
      </c>
      <c r="AS20" s="10">
        <v>0.16927722031755127</v>
      </c>
      <c r="AT20" s="10">
        <v>47.948488277694018</v>
      </c>
      <c r="AU20" s="10">
        <v>7.8978699107469899</v>
      </c>
      <c r="AV20" s="10">
        <v>21.577904920114463</v>
      </c>
      <c r="AW20" s="10">
        <v>35.568905208506436</v>
      </c>
      <c r="AX20" s="10">
        <v>-86.912390446890342</v>
      </c>
      <c r="AY20" s="10">
        <v>73.44632985269503</v>
      </c>
      <c r="AZ20" s="10">
        <v>24.266907662000328</v>
      </c>
      <c r="BA20" s="10">
        <v>-5.8303852552622028E-2</v>
      </c>
      <c r="BB20" s="10">
        <v>-51.71510811579293</v>
      </c>
      <c r="BC20" s="10">
        <v>24.483585470478801</v>
      </c>
      <c r="BD20" s="10">
        <v>25.043109038160328</v>
      </c>
      <c r="BE20" s="10">
        <v>-9.2154762532104001E-2</v>
      </c>
      <c r="BF20" s="10">
        <v>25.328546361020269</v>
      </c>
      <c r="BG20" s="10">
        <v>26.402751441600628</v>
      </c>
      <c r="BH20" s="10">
        <v>-0.15145011296144528</v>
      </c>
      <c r="BI20" s="10">
        <v>-64.848267590093144</v>
      </c>
      <c r="BJ20" s="10">
        <v>26.212995516189167</v>
      </c>
      <c r="BK20" s="10">
        <v>-0.14317466931181616</v>
      </c>
      <c r="BL20" s="10">
        <v>-0.8449608905414685</v>
      </c>
      <c r="BM20" s="10">
        <v>-0.76674808315726251</v>
      </c>
      <c r="BN20" s="10">
        <v>-7.8212807384205996E-2</v>
      </c>
      <c r="BO20" s="10">
        <v>-86.599522257812907</v>
      </c>
      <c r="BP20" s="10">
        <v>79.389546205354733</v>
      </c>
      <c r="BQ20" s="10">
        <v>18912966.666666668</v>
      </c>
      <c r="BR20" s="10">
        <v>15349335</v>
      </c>
      <c r="BS20" s="10">
        <v>13266672.5</v>
      </c>
      <c r="BT20">
        <v>0.94901734083670974</v>
      </c>
      <c r="BU20">
        <v>1.4015177204745353</v>
      </c>
      <c r="BV20" s="10">
        <v>30.916857096495157</v>
      </c>
      <c r="BW20" s="10">
        <v>31.615495891643594</v>
      </c>
      <c r="BX20" s="10">
        <v>31.615495891643594</v>
      </c>
      <c r="BY20" s="10">
        <v>39.517874917491106</v>
      </c>
      <c r="BZ20" s="10">
        <v>-86.009067275147032</v>
      </c>
      <c r="CA20" s="10">
        <v>86.29540320636886</v>
      </c>
      <c r="CB20" s="10">
        <v>0</v>
      </c>
      <c r="CC20" s="10">
        <v>0</v>
      </c>
      <c r="CD20" s="10">
        <v>0</v>
      </c>
      <c r="CE20" s="10">
        <v>0</v>
      </c>
      <c r="CF20" s="10">
        <v>0</v>
      </c>
      <c r="CG20" s="10">
        <v>0</v>
      </c>
      <c r="CH20" s="10">
        <v>0</v>
      </c>
      <c r="CI20" s="10">
        <v>0</v>
      </c>
      <c r="CJ20" s="10">
        <v>0</v>
      </c>
      <c r="CK20" s="10">
        <v>0</v>
      </c>
      <c r="CL20" s="10">
        <v>0</v>
      </c>
      <c r="CM20" s="10">
        <v>0</v>
      </c>
      <c r="CN20" s="10">
        <v>0</v>
      </c>
      <c r="CO20" s="10">
        <v>0</v>
      </c>
      <c r="CP20" s="10">
        <v>0</v>
      </c>
      <c r="CQ20" s="10">
        <v>0</v>
      </c>
      <c r="CR20" s="10">
        <v>0</v>
      </c>
      <c r="CS20" s="10">
        <v>0</v>
      </c>
      <c r="CT20" s="10">
        <v>0</v>
      </c>
      <c r="CU20" s="10">
        <v>0</v>
      </c>
      <c r="CV20" s="10">
        <v>0</v>
      </c>
      <c r="CW20" s="10">
        <v>0</v>
      </c>
      <c r="CX20" s="10" t="s">
        <v>103</v>
      </c>
      <c r="CY20" s="1" t="str">
        <f>VLOOKUP(bovespa_diario_last_date_1[[#This Row],[Stock]],Patterns!H:J,2,0)</f>
        <v>CDLSPINNINGTOP_Bear</v>
      </c>
      <c r="CZ20" s="5">
        <f>IF(RIGHT(bovespa_diario_last_date_1[[#This Row],[PATTERN]],4)="Bull",1,IF(RIGHT(bovespa_diario_last_date_1[[#This Row],[PATTERN]],4)="Bear",-1,0))</f>
        <v>-1</v>
      </c>
    </row>
    <row r="21" spans="1:104" x14ac:dyDescent="0.25">
      <c r="A21" s="4">
        <v>44491</v>
      </c>
      <c r="B21" s="10">
        <v>48.990001678466797</v>
      </c>
      <c r="C21" s="10">
        <v>46.439998626708984</v>
      </c>
      <c r="D21" s="10">
        <v>48.610000610351563</v>
      </c>
      <c r="E21" s="10">
        <v>47.849998474121094</v>
      </c>
      <c r="F21" s="10">
        <v>10774100</v>
      </c>
      <c r="G21" s="10">
        <v>47.849998474121094</v>
      </c>
      <c r="H21" s="10">
        <v>49.409999847412109</v>
      </c>
      <c r="I21" s="10">
        <v>-3.1572584054009534E-2</v>
      </c>
      <c r="J21" s="10">
        <v>-3.2081743759293721E-2</v>
      </c>
      <c r="K21" s="10">
        <v>0.76000213623046875</v>
      </c>
      <c r="L21" s="10">
        <v>1.4099998474121094</v>
      </c>
      <c r="M21" s="10">
        <v>0.38000106811523438</v>
      </c>
      <c r="N21" s="10">
        <v>1.5757871520710138E-2</v>
      </c>
      <c r="O21" s="10">
        <v>1.8552577423078853</v>
      </c>
      <c r="P21" s="10">
        <v>0.5</v>
      </c>
      <c r="Q21" s="10">
        <v>0.38398466494476441</v>
      </c>
      <c r="R21" s="10">
        <v>0.39059946441158372</v>
      </c>
      <c r="S21" s="10">
        <v>-9.8250710168176283E-2</v>
      </c>
      <c r="T21" s="10">
        <v>-86.909791325194448</v>
      </c>
      <c r="U21" s="10">
        <v>-83.103131665611087</v>
      </c>
      <c r="V21" s="10">
        <v>-65.249649190741636</v>
      </c>
      <c r="W21" s="10">
        <v>-63.135631604066702</v>
      </c>
      <c r="X21" s="10">
        <v>-7.2000007629394531</v>
      </c>
      <c r="Y21" s="10">
        <v>-0.78666856553819442</v>
      </c>
      <c r="Z21" s="10">
        <v>-10774100</v>
      </c>
      <c r="AA21" s="10">
        <v>129388200</v>
      </c>
      <c r="AB21" s="10">
        <v>-86.281024571952372</v>
      </c>
      <c r="AC21" s="10">
        <v>-46.824599827206583</v>
      </c>
      <c r="AD21" s="10">
        <v>21.231185998298379</v>
      </c>
      <c r="AE21" s="10">
        <v>86.64674614475399</v>
      </c>
      <c r="AF21" s="10">
        <v>-71.137928288869318</v>
      </c>
      <c r="AG21" s="10">
        <v>2.2399992261614119</v>
      </c>
      <c r="AH21" s="10">
        <v>81.921090494356321</v>
      </c>
      <c r="AI21" s="10">
        <v>12.131240176820024</v>
      </c>
      <c r="AJ21" s="10">
        <v>49.699999491373696</v>
      </c>
      <c r="AK21" s="10">
        <v>53.331250190734863</v>
      </c>
      <c r="AL21" s="10">
        <v>54.146685791015628</v>
      </c>
      <c r="AM21" s="10">
        <v>2.3391897126961241</v>
      </c>
      <c r="AN21" s="10">
        <v>61.323008232116699</v>
      </c>
      <c r="AO21" s="10">
        <v>58.825065216407879</v>
      </c>
      <c r="AP21" s="10">
        <v>49.468306365623377</v>
      </c>
      <c r="AQ21" s="10">
        <v>-0.22936399356882894</v>
      </c>
      <c r="AR21" s="10">
        <v>-3.3820437682511507E-2</v>
      </c>
      <c r="AS21" s="10">
        <v>0.17280390690757727</v>
      </c>
      <c r="AT21" s="10">
        <v>82.109453686042301</v>
      </c>
      <c r="AU21" s="10">
        <v>22.163036235691894</v>
      </c>
      <c r="AV21" s="10">
        <v>5.13036877392382</v>
      </c>
      <c r="AW21" s="10">
        <v>24.277016384070748</v>
      </c>
      <c r="AX21" s="10">
        <v>-88.690709057316397</v>
      </c>
      <c r="AY21" s="10">
        <v>-67.104514468414962</v>
      </c>
      <c r="AZ21" s="10">
        <v>52.30268483977958</v>
      </c>
      <c r="BA21" s="10">
        <v>-9.305509942840752E-2</v>
      </c>
      <c r="BB21" s="10">
        <v>-67.258344748008341</v>
      </c>
      <c r="BC21" s="10">
        <v>52.887616892950291</v>
      </c>
      <c r="BD21" s="10">
        <v>53.958764963505992</v>
      </c>
      <c r="BE21" s="10">
        <v>-0.12766492547933364</v>
      </c>
      <c r="BF21" s="10">
        <v>54.394743637106941</v>
      </c>
      <c r="BG21" s="10">
        <v>56.080382187390327</v>
      </c>
      <c r="BH21" s="10">
        <v>-0.17200384484276432</v>
      </c>
      <c r="BI21" s="10">
        <v>-57.505676004645821</v>
      </c>
      <c r="BJ21" s="10">
        <v>58.898515765048096</v>
      </c>
      <c r="BK21" s="10">
        <v>-0.23089901030827442</v>
      </c>
      <c r="BL21" s="10">
        <v>-1.5071267441566505</v>
      </c>
      <c r="BM21" s="10">
        <v>-0.9318061932672338</v>
      </c>
      <c r="BN21" s="10">
        <v>-0.57532055088941669</v>
      </c>
      <c r="BO21" s="10">
        <v>-87.761608173730849</v>
      </c>
      <c r="BP21" s="10">
        <v>39.448194529453929</v>
      </c>
      <c r="BQ21" s="10">
        <v>6792500</v>
      </c>
      <c r="BR21" s="10">
        <v>6441745</v>
      </c>
      <c r="BS21" s="10">
        <v>5775460.5</v>
      </c>
      <c r="BT21">
        <v>0.58617592933382401</v>
      </c>
      <c r="BU21">
        <v>0.67254369739876374</v>
      </c>
      <c r="BV21" s="10">
        <v>13.26434342176516</v>
      </c>
      <c r="BW21" s="10">
        <v>7.2560698799298367</v>
      </c>
      <c r="BX21" s="10">
        <v>7.2560698799298367</v>
      </c>
      <c r="BY21" s="10">
        <v>20.082116823425594</v>
      </c>
      <c r="BZ21" s="10">
        <v>-89.071355770912049</v>
      </c>
      <c r="CA21" s="10">
        <v>85.793794008759136</v>
      </c>
      <c r="CB21" s="10">
        <v>0</v>
      </c>
      <c r="CC21" s="10">
        <v>0</v>
      </c>
      <c r="CD21" s="10">
        <v>0</v>
      </c>
      <c r="CE21" s="10">
        <v>0</v>
      </c>
      <c r="CF21" s="10">
        <v>0</v>
      </c>
      <c r="CG21" s="10">
        <v>0</v>
      </c>
      <c r="CH21" s="10">
        <v>0</v>
      </c>
      <c r="CI21" s="10">
        <v>0</v>
      </c>
      <c r="CJ21" s="10">
        <v>0</v>
      </c>
      <c r="CK21" s="10">
        <v>0</v>
      </c>
      <c r="CL21" s="10">
        <v>0</v>
      </c>
      <c r="CM21" s="10">
        <v>0</v>
      </c>
      <c r="CN21" s="10">
        <v>0</v>
      </c>
      <c r="CO21" s="10">
        <v>0</v>
      </c>
      <c r="CP21" s="10">
        <v>0</v>
      </c>
      <c r="CQ21" s="10">
        <v>0</v>
      </c>
      <c r="CR21" s="10">
        <v>0</v>
      </c>
      <c r="CS21" s="10">
        <v>0</v>
      </c>
      <c r="CT21" s="10">
        <v>0</v>
      </c>
      <c r="CU21" s="10">
        <v>0</v>
      </c>
      <c r="CV21" s="10">
        <v>0</v>
      </c>
      <c r="CW21" s="10">
        <v>0</v>
      </c>
      <c r="CX21" s="10" t="s">
        <v>104</v>
      </c>
      <c r="CY21" s="1" t="str">
        <f>VLOOKUP(bovespa_diario_last_date_1[[#This Row],[Stock]],Patterns!H:J,2,0)</f>
        <v>NO_PATTERN</v>
      </c>
      <c r="CZ21" s="5">
        <f>IF(RIGHT(bovespa_diario_last_date_1[[#This Row],[PATTERN]],4)="Bull",1,IF(RIGHT(bovespa_diario_last_date_1[[#This Row],[PATTERN]],4)="Bear",-1,0))</f>
        <v>0</v>
      </c>
    </row>
    <row r="22" spans="1:104" x14ac:dyDescent="0.25">
      <c r="A22" s="4">
        <v>44491</v>
      </c>
      <c r="B22" s="10">
        <v>10.789999961853027</v>
      </c>
      <c r="C22" s="10">
        <v>10.170000076293945</v>
      </c>
      <c r="D22" s="10">
        <v>10.789999961853027</v>
      </c>
      <c r="E22" s="10">
        <v>10.529999732971191</v>
      </c>
      <c r="F22" s="10">
        <v>65875500</v>
      </c>
      <c r="G22" s="10">
        <v>10.529999732971191</v>
      </c>
      <c r="H22" s="10">
        <v>10.840000152587891</v>
      </c>
      <c r="I22" s="10">
        <v>-2.8597824285333751E-2</v>
      </c>
      <c r="J22" s="10">
        <v>-2.901470930085116E-2</v>
      </c>
      <c r="K22" s="10">
        <v>0.26000022888183594</v>
      </c>
      <c r="L22" s="10">
        <v>0.35999965667724609</v>
      </c>
      <c r="M22" s="10">
        <v>0</v>
      </c>
      <c r="N22" s="10">
        <v>2.4390265722654327E-2</v>
      </c>
      <c r="O22" s="10">
        <v>1.3846128452481385</v>
      </c>
      <c r="P22" s="10">
        <v>0</v>
      </c>
      <c r="Q22" s="10">
        <v>0.2887854182671335</v>
      </c>
      <c r="R22" s="10">
        <v>0.32724344340786082</v>
      </c>
      <c r="S22" s="10">
        <v>-5.721116290657307E-2</v>
      </c>
      <c r="T22" s="10">
        <v>-85.174262334128514</v>
      </c>
      <c r="U22" s="10">
        <v>-76.811759414917191</v>
      </c>
      <c r="V22" s="10">
        <v>-69.447573733407822</v>
      </c>
      <c r="W22" s="10">
        <v>-46.179551699411135</v>
      </c>
      <c r="X22" s="10">
        <v>-0.78999996185302734</v>
      </c>
      <c r="Y22" s="10">
        <v>-0.19999991522894967</v>
      </c>
      <c r="Z22" s="10">
        <v>-65875500</v>
      </c>
      <c r="AA22" s="10">
        <v>479149400</v>
      </c>
      <c r="AB22" s="10">
        <v>-85.512655774643704</v>
      </c>
      <c r="AC22" s="10">
        <v>-5.3274666848142562</v>
      </c>
      <c r="AD22" s="10">
        <v>15.270086979703517</v>
      </c>
      <c r="AE22" s="10">
        <v>14.586269918030835</v>
      </c>
      <c r="AF22" s="10">
        <v>-70.666724769924045</v>
      </c>
      <c r="AG22" s="10">
        <v>0.34214285441807341</v>
      </c>
      <c r="AH22" s="10">
        <v>80.437533218045189</v>
      </c>
      <c r="AI22" s="10">
        <v>39.769283343227066</v>
      </c>
      <c r="AJ22" s="10">
        <v>10.836666742960611</v>
      </c>
      <c r="AK22" s="10">
        <v>11.026250004768372</v>
      </c>
      <c r="AL22" s="10">
        <v>11.136999940872192</v>
      </c>
      <c r="AM22" s="10">
        <v>0.20993984509081795</v>
      </c>
      <c r="AN22" s="10">
        <v>10.840721573829651</v>
      </c>
      <c r="AO22" s="10">
        <v>11.556879631053828</v>
      </c>
      <c r="AP22" s="10">
        <v>10.717120250690556</v>
      </c>
      <c r="AQ22" s="10">
        <v>-9.7519460980355396E-2</v>
      </c>
      <c r="AR22" s="10">
        <v>-1.7770230053611377E-2</v>
      </c>
      <c r="AS22" s="10">
        <v>7.5402656444434418E-2</v>
      </c>
      <c r="AT22" s="10">
        <v>-50.711071440158797</v>
      </c>
      <c r="AU22" s="10">
        <v>-31.828482609694795</v>
      </c>
      <c r="AV22" s="10">
        <v>19.024970697932659</v>
      </c>
      <c r="AW22" s="10">
        <v>35.774908258112674</v>
      </c>
      <c r="AX22" s="10">
        <v>-87.69207061364223</v>
      </c>
      <c r="AY22" s="10">
        <v>-80.893098800871499</v>
      </c>
      <c r="AZ22" s="10">
        <v>10.977757716257466</v>
      </c>
      <c r="BA22" s="10">
        <v>-4.2522126746524946E-2</v>
      </c>
      <c r="BB22" s="10">
        <v>-61.716750224644777</v>
      </c>
      <c r="BC22" s="10">
        <v>11.019336132768331</v>
      </c>
      <c r="BD22" s="10">
        <v>11.075822954780271</v>
      </c>
      <c r="BE22" s="10">
        <v>-5.1835065114010981E-2</v>
      </c>
      <c r="BF22" s="10">
        <v>11.09293074184934</v>
      </c>
      <c r="BG22" s="10">
        <v>11.132980789708963</v>
      </c>
      <c r="BH22" s="10">
        <v>-5.7263159736817178E-2</v>
      </c>
      <c r="BI22" s="10">
        <v>-6.5896916480266876</v>
      </c>
      <c r="BJ22" s="10">
        <v>10.890542381625941</v>
      </c>
      <c r="BK22" s="10">
        <v>-3.4239568641757007E-2</v>
      </c>
      <c r="BL22" s="10">
        <v>-7.3594609081009565E-2</v>
      </c>
      <c r="BM22" s="10">
        <v>-1.6917902585454454E-2</v>
      </c>
      <c r="BN22" s="10">
        <v>-5.6676706495555111E-2</v>
      </c>
      <c r="BO22" s="10">
        <v>-85.633715795286861</v>
      </c>
      <c r="BP22" s="10">
        <v>-80.065439460219579</v>
      </c>
      <c r="BQ22" s="10">
        <v>37385077.777777776</v>
      </c>
      <c r="BR22" s="10">
        <v>39817550</v>
      </c>
      <c r="BS22" s="10">
        <v>32196454.5</v>
      </c>
      <c r="BT22">
        <v>0.76208005749174434</v>
      </c>
      <c r="BU22">
        <v>0.65443378610688008</v>
      </c>
      <c r="BV22" s="10">
        <v>27.480901026037504</v>
      </c>
      <c r="BW22" s="10">
        <v>30.768247880344813</v>
      </c>
      <c r="BX22" s="10">
        <v>30.768247880344813</v>
      </c>
      <c r="BY22" s="10">
        <v>33.003608695516441</v>
      </c>
      <c r="BZ22" s="10">
        <v>-84.282293191674526</v>
      </c>
      <c r="CA22" s="10">
        <v>-84.390471033363625</v>
      </c>
      <c r="CB22" s="10">
        <v>0</v>
      </c>
      <c r="CC22" s="10">
        <v>0</v>
      </c>
      <c r="CD22" s="10">
        <v>0</v>
      </c>
      <c r="CE22" s="10">
        <v>0</v>
      </c>
      <c r="CF22" s="10">
        <v>0</v>
      </c>
      <c r="CG22" s="10">
        <v>0</v>
      </c>
      <c r="CH22" s="10">
        <v>0</v>
      </c>
      <c r="CI22" s="10">
        <v>0</v>
      </c>
      <c r="CJ22" s="10">
        <v>0</v>
      </c>
      <c r="CK22" s="10">
        <v>0</v>
      </c>
      <c r="CL22" s="10">
        <v>0</v>
      </c>
      <c r="CM22" s="10">
        <v>0</v>
      </c>
      <c r="CN22" s="10">
        <v>0</v>
      </c>
      <c r="CO22" s="10">
        <v>0</v>
      </c>
      <c r="CP22" s="10">
        <v>0</v>
      </c>
      <c r="CQ22" s="10">
        <v>0</v>
      </c>
      <c r="CR22" s="10">
        <v>0</v>
      </c>
      <c r="CS22" s="10">
        <v>0</v>
      </c>
      <c r="CT22" s="10">
        <v>0</v>
      </c>
      <c r="CU22" s="10">
        <v>0</v>
      </c>
      <c r="CV22" s="10">
        <v>0</v>
      </c>
      <c r="CW22" s="10">
        <v>0</v>
      </c>
      <c r="CX22" s="10" t="s">
        <v>106</v>
      </c>
      <c r="CY22" s="1" t="str">
        <f>VLOOKUP(bovespa_diario_last_date_1[[#This Row],[Stock]],Patterns!H:J,2,0)</f>
        <v>CDLCLOSINGMARUBOZU_Bull</v>
      </c>
      <c r="CZ22" s="5">
        <f>IF(RIGHT(bovespa_diario_last_date_1[[#This Row],[PATTERN]],4)="Bull",1,IF(RIGHT(bovespa_diario_last_date_1[[#This Row],[PATTERN]],4)="Bear",-1,0))</f>
        <v>1</v>
      </c>
    </row>
    <row r="23" spans="1:104" x14ac:dyDescent="0.25">
      <c r="A23" s="4">
        <v>44491</v>
      </c>
      <c r="B23" s="10">
        <v>39.419998168945313</v>
      </c>
      <c r="C23" s="10">
        <v>37.400001525878906</v>
      </c>
      <c r="D23" s="10">
        <v>38.509998321533203</v>
      </c>
      <c r="E23" s="10">
        <v>38.889999389648438</v>
      </c>
      <c r="F23" s="10">
        <v>12439500</v>
      </c>
      <c r="G23" s="10">
        <v>38.889999389648438</v>
      </c>
      <c r="H23" s="10">
        <v>39.349998474121094</v>
      </c>
      <c r="I23" s="10">
        <v>-1.1689939067600741E-2</v>
      </c>
      <c r="J23" s="10">
        <v>-1.1758803612961239E-2</v>
      </c>
      <c r="K23" s="10">
        <v>0.38000106811523438</v>
      </c>
      <c r="L23" s="10">
        <v>1.1099967956542969</v>
      </c>
      <c r="M23" s="10">
        <v>0.529998779296875</v>
      </c>
      <c r="N23" s="10">
        <v>9.8191493372702596E-3</v>
      </c>
      <c r="O23" s="10">
        <v>2.9210359885559405</v>
      </c>
      <c r="P23" s="10">
        <v>1.3947297093811173</v>
      </c>
      <c r="Q23" s="10">
        <v>0.37070845437494815</v>
      </c>
      <c r="R23" s="10">
        <v>0.32152528321119528</v>
      </c>
      <c r="S23" s="10">
        <v>3.4797441570694636E-2</v>
      </c>
      <c r="T23" s="10">
        <v>-76.043472219180913</v>
      </c>
      <c r="U23" s="10">
        <v>-44.711495939711028</v>
      </c>
      <c r="V23" s="10">
        <v>64.765925967010773</v>
      </c>
      <c r="W23" s="10">
        <v>-25.737499493114164</v>
      </c>
      <c r="X23" s="10">
        <v>0.23999786376953125</v>
      </c>
      <c r="Y23" s="10">
        <v>0.84666654798719621</v>
      </c>
      <c r="Z23" s="10">
        <v>-12439500</v>
      </c>
      <c r="AA23" s="10">
        <v>523651300</v>
      </c>
      <c r="AB23" s="10">
        <v>-70.422031011481977</v>
      </c>
      <c r="AC23" s="10">
        <v>27.997227367054062</v>
      </c>
      <c r="AD23" s="10">
        <v>14.602178072533414</v>
      </c>
      <c r="AE23" s="10">
        <v>-81.366986762870411</v>
      </c>
      <c r="AF23" s="10">
        <v>-75.236700856797341</v>
      </c>
      <c r="AG23" s="10">
        <v>1.5064288548060827</v>
      </c>
      <c r="AH23" s="10">
        <v>83.652497425631623</v>
      </c>
      <c r="AI23" s="10">
        <v>72.670320272381048</v>
      </c>
      <c r="AJ23" s="10">
        <v>39.453332265218101</v>
      </c>
      <c r="AK23" s="10">
        <v>39.921249389648438</v>
      </c>
      <c r="AL23" s="10">
        <v>39.52696418762207</v>
      </c>
      <c r="AM23" s="10">
        <v>1.1479568003931335</v>
      </c>
      <c r="AN23" s="10">
        <v>37.176605396270752</v>
      </c>
      <c r="AO23" s="10">
        <v>41.822877788408334</v>
      </c>
      <c r="AP23" s="10">
        <v>37.231050586835806</v>
      </c>
      <c r="AQ23" s="10">
        <v>-7.5414719588310322E-2</v>
      </c>
      <c r="AR23" s="10">
        <v>4.265746538566937E-2</v>
      </c>
      <c r="AS23" s="10">
        <v>0.11616948824545614</v>
      </c>
      <c r="AT23" s="10">
        <v>-39.21596208102946</v>
      </c>
      <c r="AU23" s="10">
        <v>-1.3847525372903395</v>
      </c>
      <c r="AV23" s="10">
        <v>28.391093845300446</v>
      </c>
      <c r="AW23" s="10">
        <v>45.728857918369798</v>
      </c>
      <c r="AX23" s="10">
        <v>-86.784066522254236</v>
      </c>
      <c r="AY23" s="10">
        <v>81.825479285691557</v>
      </c>
      <c r="AZ23" s="10">
        <v>39.494654187970383</v>
      </c>
      <c r="BA23" s="10">
        <v>-1.5547822263090334E-2</v>
      </c>
      <c r="BB23" s="10">
        <v>57.435696885304566</v>
      </c>
      <c r="BC23" s="10">
        <v>39.480270157537156</v>
      </c>
      <c r="BD23" s="10">
        <v>39.317659736438486</v>
      </c>
      <c r="BE23" s="10">
        <v>-1.0996666328153281E-2</v>
      </c>
      <c r="BF23" s="10">
        <v>39.170292784693409</v>
      </c>
      <c r="BG23" s="10">
        <v>38.361034310627694</v>
      </c>
      <c r="BH23" s="10">
        <v>1.3601570771984654E-2</v>
      </c>
      <c r="BI23" s="10">
        <v>47.342602058841479</v>
      </c>
      <c r="BJ23" s="10">
        <v>36.169232181075252</v>
      </c>
      <c r="BK23" s="10">
        <v>6.9960587587393666E-2</v>
      </c>
      <c r="BL23" s="10">
        <v>0.30997737284374693</v>
      </c>
      <c r="BM23" s="10">
        <v>0.42426061872082743</v>
      </c>
      <c r="BN23" s="10">
        <v>-0.1142832458770805</v>
      </c>
      <c r="BO23" s="10">
        <v>-80.313796751619719</v>
      </c>
      <c r="BP23" s="10">
        <v>81.630887868946758</v>
      </c>
      <c r="BQ23" s="10">
        <v>7597855.555555556</v>
      </c>
      <c r="BR23" s="10">
        <v>7468315</v>
      </c>
      <c r="BS23" s="10">
        <v>9803933.5</v>
      </c>
      <c r="BT23">
        <v>0.63723828507166491</v>
      </c>
      <c r="BU23">
        <v>0.6656367600991655</v>
      </c>
      <c r="BV23" s="10">
        <v>52.719646238894093</v>
      </c>
      <c r="BW23" s="10">
        <v>64.504846445217481</v>
      </c>
      <c r="BX23" s="10">
        <v>64.504846445217481</v>
      </c>
      <c r="BY23" s="10">
        <v>68.565344051294815</v>
      </c>
      <c r="BZ23" s="10">
        <v>-81.888933255222852</v>
      </c>
      <c r="CA23" s="10">
        <v>86.822046775329611</v>
      </c>
      <c r="CB23" s="10">
        <v>1</v>
      </c>
      <c r="CC23" s="10">
        <v>0</v>
      </c>
      <c r="CD23" s="10">
        <v>1</v>
      </c>
      <c r="CE23" s="10">
        <v>0</v>
      </c>
      <c r="CF23" s="10">
        <v>0</v>
      </c>
      <c r="CG23" s="10">
        <v>0</v>
      </c>
      <c r="CH23" s="10">
        <v>0</v>
      </c>
      <c r="CI23" s="10">
        <v>0</v>
      </c>
      <c r="CJ23" s="10">
        <v>0</v>
      </c>
      <c r="CK23" s="10">
        <v>-1</v>
      </c>
      <c r="CL23" s="10">
        <v>0</v>
      </c>
      <c r="CM23" s="10">
        <v>-1</v>
      </c>
      <c r="CN23" s="10">
        <v>0</v>
      </c>
      <c r="CO23" s="10">
        <v>0</v>
      </c>
      <c r="CP23" s="10">
        <v>0</v>
      </c>
      <c r="CQ23" s="10">
        <v>0</v>
      </c>
      <c r="CR23" s="10">
        <v>0</v>
      </c>
      <c r="CS23" s="10">
        <v>0</v>
      </c>
      <c r="CT23" s="10">
        <v>0</v>
      </c>
      <c r="CU23" s="10">
        <v>0</v>
      </c>
      <c r="CV23" s="10">
        <v>0</v>
      </c>
      <c r="CW23" s="10">
        <v>0</v>
      </c>
      <c r="CX23" s="10" t="s">
        <v>107</v>
      </c>
      <c r="CY23" s="1" t="str">
        <f>VLOOKUP(bovespa_diario_last_date_1[[#This Row],[Stock]],Patterns!H:J,2,0)</f>
        <v>NO_PATTERN</v>
      </c>
      <c r="CZ23" s="5">
        <f>IF(RIGHT(bovespa_diario_last_date_1[[#This Row],[PATTERN]],4)="Bull",1,IF(RIGHT(bovespa_diario_last_date_1[[#This Row],[PATTERN]],4)="Bear",-1,0))</f>
        <v>0</v>
      </c>
    </row>
    <row r="24" spans="1:104" x14ac:dyDescent="0.25">
      <c r="A24" s="4">
        <v>44491</v>
      </c>
      <c r="B24" s="10">
        <v>33.110000610351563</v>
      </c>
      <c r="C24" s="10">
        <v>30.399999618530273</v>
      </c>
      <c r="D24" s="10">
        <v>33</v>
      </c>
      <c r="E24" s="10">
        <v>32.049999237060547</v>
      </c>
      <c r="F24" s="10">
        <v>33233200</v>
      </c>
      <c r="G24" s="10">
        <v>32.049999237060547</v>
      </c>
      <c r="H24" s="10">
        <v>30.354545593261719</v>
      </c>
      <c r="I24" s="10">
        <v>5.5855016461692442E-2</v>
      </c>
      <c r="J24" s="10">
        <v>5.4350880840909381E-2</v>
      </c>
      <c r="K24" s="10">
        <v>0.95000076293945313</v>
      </c>
      <c r="L24" s="10">
        <v>1.6499996185302734</v>
      </c>
      <c r="M24" s="10">
        <v>0.1100006103515625</v>
      </c>
      <c r="N24" s="10">
        <v>2.920832510627348E-2</v>
      </c>
      <c r="O24" s="10">
        <v>1.7368403088697664</v>
      </c>
      <c r="P24" s="10">
        <v>0.11579002316924794</v>
      </c>
      <c r="Q24" s="10">
        <v>0.39799931831212321</v>
      </c>
      <c r="R24" s="10">
        <v>0.50252161451592492</v>
      </c>
      <c r="S24" s="10">
        <v>4.3034480117416181E-2</v>
      </c>
      <c r="T24" s="10">
        <v>-75.146684521875514</v>
      </c>
      <c r="U24" s="10">
        <v>14.191432257714494</v>
      </c>
      <c r="V24" s="10">
        <v>46.04638364124159</v>
      </c>
      <c r="W24" s="10">
        <v>-25.782106425430353</v>
      </c>
      <c r="X24" s="10">
        <v>0.50454521179199219</v>
      </c>
      <c r="Y24" s="10">
        <v>0.30858548482259113</v>
      </c>
      <c r="Z24" s="10">
        <v>33233200</v>
      </c>
      <c r="AA24" s="10">
        <v>39808215</v>
      </c>
      <c r="AB24" s="10">
        <v>75.688391301598443</v>
      </c>
      <c r="AC24" s="10">
        <v>70.60663003558065</v>
      </c>
      <c r="AD24" s="10">
        <v>19.667553163544259</v>
      </c>
      <c r="AE24" s="10">
        <v>-86.262550396688184</v>
      </c>
      <c r="AF24" s="10">
        <v>-86.314725131891976</v>
      </c>
      <c r="AG24" s="10">
        <v>1.5786360331944056</v>
      </c>
      <c r="AH24" s="10">
        <v>73.651979337900329</v>
      </c>
      <c r="AI24" s="10">
        <v>63.149462776191434</v>
      </c>
      <c r="AJ24" s="10">
        <v>31.449999491373699</v>
      </c>
      <c r="AK24" s="10">
        <v>31.742613077163696</v>
      </c>
      <c r="AL24" s="10">
        <v>31.647499370574952</v>
      </c>
      <c r="AM24" s="10">
        <v>0.85156546755572415</v>
      </c>
      <c r="AN24" s="10">
        <v>37.093016948699955</v>
      </c>
      <c r="AO24" s="10">
        <v>33.350630305686401</v>
      </c>
      <c r="AP24" s="10">
        <v>29.944368435463502</v>
      </c>
      <c r="AQ24" s="10">
        <v>-4.05813135596549E-2</v>
      </c>
      <c r="AR24" s="10">
        <v>6.5698310506111621E-2</v>
      </c>
      <c r="AS24" s="10">
        <v>0.10763131172979674</v>
      </c>
      <c r="AT24" s="10">
        <v>-69.357472974117826</v>
      </c>
      <c r="AU24" s="10">
        <v>-27.238036990859474</v>
      </c>
      <c r="AV24" s="10">
        <v>59.230670424505675</v>
      </c>
      <c r="AW24" s="10">
        <v>51.275652404957405</v>
      </c>
      <c r="AX24" s="10">
        <v>-85.088676593845818</v>
      </c>
      <c r="AY24" s="10">
        <v>83.212304728372899</v>
      </c>
      <c r="AZ24" s="10">
        <v>31.6101899672108</v>
      </c>
      <c r="BA24" s="10">
        <v>1.3722598449898852E-2</v>
      </c>
      <c r="BB24" s="10">
        <v>33.538302873957988</v>
      </c>
      <c r="BC24" s="10">
        <v>31.653228804884392</v>
      </c>
      <c r="BD24" s="10">
        <v>31.927106691363672</v>
      </c>
      <c r="BE24" s="10">
        <v>3.8344008930511794E-3</v>
      </c>
      <c r="BF24" s="10">
        <v>32.143454530764508</v>
      </c>
      <c r="BG24" s="10">
        <v>33.353523483286459</v>
      </c>
      <c r="BH24" s="10">
        <v>-4.0671584313755643E-2</v>
      </c>
      <c r="BI24" s="10">
        <v>-67.235894321508312</v>
      </c>
      <c r="BJ24" s="10">
        <v>36.649049087985738</v>
      </c>
      <c r="BK24" s="10">
        <v>-0.14349609860854995</v>
      </c>
      <c r="BL24" s="10">
        <v>-0.4902257258801157</v>
      </c>
      <c r="BM24" s="10">
        <v>-0.62640352199146998</v>
      </c>
      <c r="BN24" s="10">
        <v>0.13617779611135428</v>
      </c>
      <c r="BO24" s="10">
        <v>-78.636322731801812</v>
      </c>
      <c r="BP24" s="10">
        <v>73.755819512226509</v>
      </c>
      <c r="BQ24" s="10">
        <v>14390542.222222222</v>
      </c>
      <c r="BR24" s="10">
        <v>11659598.5</v>
      </c>
      <c r="BS24" s="10">
        <v>10179621.414999999</v>
      </c>
      <c r="BT24">
        <v>1.3093778876990814</v>
      </c>
      <c r="BU24">
        <v>1.8502868259142886</v>
      </c>
      <c r="BV24" s="10">
        <v>67.105256553500638</v>
      </c>
      <c r="BW24" s="10">
        <v>51.31578639163363</v>
      </c>
      <c r="BX24" s="10">
        <v>51.31578639163363</v>
      </c>
      <c r="BY24" s="10">
        <v>53.841038409882174</v>
      </c>
      <c r="BZ24" s="10">
        <v>-53.104830079621685</v>
      </c>
      <c r="CA24" s="10">
        <v>85.910307403406605</v>
      </c>
      <c r="CB24" s="10">
        <v>0</v>
      </c>
      <c r="CC24" s="10">
        <v>0</v>
      </c>
      <c r="CD24" s="10">
        <v>0</v>
      </c>
      <c r="CE24" s="10">
        <v>0</v>
      </c>
      <c r="CF24" s="10">
        <v>0</v>
      </c>
      <c r="CG24" s="10">
        <v>0</v>
      </c>
      <c r="CH24" s="10">
        <v>0</v>
      </c>
      <c r="CI24" s="10">
        <v>0</v>
      </c>
      <c r="CJ24" s="10">
        <v>0</v>
      </c>
      <c r="CK24" s="10">
        <v>0</v>
      </c>
      <c r="CL24" s="10">
        <v>0</v>
      </c>
      <c r="CM24" s="10">
        <v>0</v>
      </c>
      <c r="CN24" s="10">
        <v>0</v>
      </c>
      <c r="CO24" s="10">
        <v>0</v>
      </c>
      <c r="CP24" s="10">
        <v>0</v>
      </c>
      <c r="CQ24" s="10">
        <v>0</v>
      </c>
      <c r="CR24" s="10">
        <v>0</v>
      </c>
      <c r="CS24" s="10">
        <v>0</v>
      </c>
      <c r="CT24" s="10">
        <v>0</v>
      </c>
      <c r="CU24" s="10">
        <v>0</v>
      </c>
      <c r="CV24" s="10">
        <v>0</v>
      </c>
      <c r="CW24" s="10">
        <v>0</v>
      </c>
      <c r="CX24" s="10" t="s">
        <v>108</v>
      </c>
      <c r="CY24" s="1" t="str">
        <f>VLOOKUP(bovespa_diario_last_date_1[[#This Row],[Stock]],Patterns!H:J,2,0)</f>
        <v>CDLRICKSHAWMAN_Bull</v>
      </c>
      <c r="CZ24" s="5">
        <f>IF(RIGHT(bovespa_diario_last_date_1[[#This Row],[PATTERN]],4)="Bull",1,IF(RIGHT(bovespa_diario_last_date_1[[#This Row],[PATTERN]],4)="Bear",-1,0))</f>
        <v>1</v>
      </c>
    </row>
    <row r="25" spans="1:104" x14ac:dyDescent="0.25">
      <c r="A25" s="4">
        <v>44491</v>
      </c>
      <c r="B25" s="10">
        <v>54</v>
      </c>
      <c r="C25" s="10">
        <v>49.720001220703125</v>
      </c>
      <c r="D25" s="10">
        <v>49.799999237060547</v>
      </c>
      <c r="E25" s="10">
        <v>52.799999237060547</v>
      </c>
      <c r="F25" s="10">
        <v>27965900</v>
      </c>
      <c r="G25" s="10">
        <v>52.799999237060547</v>
      </c>
      <c r="H25" s="10">
        <v>49.200000762939453</v>
      </c>
      <c r="I25" s="10">
        <v>7.3170699558867458E-2</v>
      </c>
      <c r="J25" s="10">
        <v>7.0617537257443047E-2</v>
      </c>
      <c r="K25" s="10">
        <v>3</v>
      </c>
      <c r="L25" s="10">
        <v>7.9998016357421875E-2</v>
      </c>
      <c r="M25" s="10">
        <v>1.2000007629394531</v>
      </c>
      <c r="N25" s="10">
        <v>5.847953303345698E-2</v>
      </c>
      <c r="O25" s="10">
        <v>2.6666005452473957E-2</v>
      </c>
      <c r="P25" s="10">
        <v>0.40000025431315106</v>
      </c>
      <c r="Q25" s="10">
        <v>0.35581098609493389</v>
      </c>
      <c r="R25" s="10">
        <v>0.39657803316210538</v>
      </c>
      <c r="S25" s="10">
        <v>6.5953642769838713E-2</v>
      </c>
      <c r="T25" s="10">
        <v>79.293168850856603</v>
      </c>
      <c r="U25" s="10">
        <v>1.1706388751979815</v>
      </c>
      <c r="V25" s="10">
        <v>-5.6228333229139986</v>
      </c>
      <c r="W25" s="10">
        <v>-65.998650928433221</v>
      </c>
      <c r="X25" s="10">
        <v>3.4899978637695313</v>
      </c>
      <c r="Y25" s="10">
        <v>-1.5155554877387152</v>
      </c>
      <c r="Z25" s="10">
        <v>27965900</v>
      </c>
      <c r="AA25" s="10">
        <v>19129900</v>
      </c>
      <c r="AB25" s="10">
        <v>85.740996024792906</v>
      </c>
      <c r="AC25" s="10">
        <v>-43.340860459167182</v>
      </c>
      <c r="AD25" s="10">
        <v>23.858037427118024</v>
      </c>
      <c r="AE25" s="10">
        <v>-10.257083467817795</v>
      </c>
      <c r="AF25" s="10">
        <v>46.278295967918666</v>
      </c>
      <c r="AG25" s="10">
        <v>1.9292858668736048</v>
      </c>
      <c r="AH25" s="10">
        <v>80.208866287852999</v>
      </c>
      <c r="AI25" s="10">
        <v>-64.781839588134758</v>
      </c>
      <c r="AJ25" s="10">
        <v>50.16999944051107</v>
      </c>
      <c r="AK25" s="10">
        <v>50.099999904632568</v>
      </c>
      <c r="AL25" s="10">
        <v>51.306500053405763</v>
      </c>
      <c r="AM25" s="10">
        <v>2.2139257178954903</v>
      </c>
      <c r="AN25" s="10">
        <v>62.611250076293942</v>
      </c>
      <c r="AO25" s="10">
        <v>55.73435148919674</v>
      </c>
      <c r="AP25" s="10">
        <v>46.878648617614786</v>
      </c>
      <c r="AQ25" s="10">
        <v>-5.5574854063190189E-2</v>
      </c>
      <c r="AR25" s="10">
        <v>0.11214679365543512</v>
      </c>
      <c r="AS25" s="10">
        <v>0.17260391689871479</v>
      </c>
      <c r="AT25" s="10">
        <v>55.562901358974571</v>
      </c>
      <c r="AU25" s="10">
        <v>-80.232838120521123</v>
      </c>
      <c r="AV25" s="10">
        <v>84.736382206099591</v>
      </c>
      <c r="AW25" s="10">
        <v>57.0864943142737</v>
      </c>
      <c r="AX25" s="10">
        <v>88.111166478879326</v>
      </c>
      <c r="AY25" s="10">
        <v>83.509759620432362</v>
      </c>
      <c r="AZ25" s="10">
        <v>50.366581374468282</v>
      </c>
      <c r="BA25" s="10">
        <v>4.6087460184738756E-2</v>
      </c>
      <c r="BB25" s="10">
        <v>-55.601458243798149</v>
      </c>
      <c r="BC25" s="10">
        <v>50.574023357262554</v>
      </c>
      <c r="BD25" s="10">
        <v>51.581248870803471</v>
      </c>
      <c r="BE25" s="10">
        <v>2.308239363385502E-2</v>
      </c>
      <c r="BF25" s="10">
        <v>52.142209152190944</v>
      </c>
      <c r="BG25" s="10">
        <v>54.171926432313839</v>
      </c>
      <c r="BH25" s="10">
        <v>-2.5983469982520956E-2</v>
      </c>
      <c r="BI25" s="10">
        <v>-70.74089403909187</v>
      </c>
      <c r="BJ25" s="10">
        <v>57.685089919464758</v>
      </c>
      <c r="BK25" s="10">
        <v>-9.2520658200603637E-2</v>
      </c>
      <c r="BL25" s="10">
        <v>-1.5681857949283895</v>
      </c>
      <c r="BM25" s="10">
        <v>-1.8505967166013604</v>
      </c>
      <c r="BN25" s="10">
        <v>0.28241092167297088</v>
      </c>
      <c r="BO25" s="10">
        <v>83.536094677260323</v>
      </c>
      <c r="BP25" s="10">
        <v>82.595947734618974</v>
      </c>
      <c r="BQ25" s="10">
        <v>10475944.444444444</v>
      </c>
      <c r="BR25" s="10">
        <v>9268915</v>
      </c>
      <c r="BS25" s="10">
        <v>7941729.5</v>
      </c>
      <c r="BT25">
        <v>1.6695349663514825</v>
      </c>
      <c r="BU25">
        <v>2.0171708339109808</v>
      </c>
      <c r="BV25" s="10">
        <v>82.532737270597565</v>
      </c>
      <c r="BW25" s="10">
        <v>40.213623410945296</v>
      </c>
      <c r="BX25" s="10">
        <v>40.213623410945296</v>
      </c>
      <c r="BY25" s="10">
        <v>21.789249135293037</v>
      </c>
      <c r="BZ25" s="10">
        <v>-76.496452759193218</v>
      </c>
      <c r="CA25" s="10">
        <v>50.984240489768958</v>
      </c>
      <c r="CB25" s="10">
        <v>0</v>
      </c>
      <c r="CC25" s="10">
        <v>1</v>
      </c>
      <c r="CD25" s="10">
        <v>1</v>
      </c>
      <c r="CE25" s="10">
        <v>0</v>
      </c>
      <c r="CF25" s="10">
        <v>0</v>
      </c>
      <c r="CG25" s="10">
        <v>0</v>
      </c>
      <c r="CH25" s="10">
        <v>0</v>
      </c>
      <c r="CI25" s="10">
        <v>0</v>
      </c>
      <c r="CJ25" s="10">
        <v>0</v>
      </c>
      <c r="CK25" s="10">
        <v>0</v>
      </c>
      <c r="CL25" s="10">
        <v>1</v>
      </c>
      <c r="CM25" s="10">
        <v>1</v>
      </c>
      <c r="CN25" s="10">
        <v>0</v>
      </c>
      <c r="CO25" s="10">
        <v>0</v>
      </c>
      <c r="CP25" s="10">
        <v>0</v>
      </c>
      <c r="CQ25" s="10">
        <v>0</v>
      </c>
      <c r="CR25" s="10">
        <v>0</v>
      </c>
      <c r="CS25" s="10">
        <v>0</v>
      </c>
      <c r="CT25" s="10">
        <v>0</v>
      </c>
      <c r="CU25" s="10">
        <v>0</v>
      </c>
      <c r="CV25" s="10">
        <v>0</v>
      </c>
      <c r="CW25" s="10">
        <v>0</v>
      </c>
      <c r="CX25" s="10" t="s">
        <v>109</v>
      </c>
      <c r="CY25" s="1" t="str">
        <f>VLOOKUP(bovespa_diario_last_date_1[[#This Row],[Stock]],Patterns!H:J,2,0)</f>
        <v>CDLMATCHINGLOW_Bull</v>
      </c>
      <c r="CZ25" s="5">
        <f>IF(RIGHT(bovespa_diario_last_date_1[[#This Row],[PATTERN]],4)="Bull",1,IF(RIGHT(bovespa_diario_last_date_1[[#This Row],[PATTERN]],4)="Bear",-1,0))</f>
        <v>1</v>
      </c>
    </row>
    <row r="26" spans="1:104" x14ac:dyDescent="0.25">
      <c r="A26" s="4">
        <v>44491</v>
      </c>
      <c r="B26" s="10">
        <v>27.040000915527344</v>
      </c>
      <c r="C26" s="10">
        <v>26.149999618530273</v>
      </c>
      <c r="D26" s="10">
        <v>26.260000228881836</v>
      </c>
      <c r="E26" s="10">
        <v>26.729999542236328</v>
      </c>
      <c r="F26" s="10">
        <v>15111500</v>
      </c>
      <c r="G26" s="10">
        <v>26.729999542236328</v>
      </c>
      <c r="H26" s="10">
        <v>26.559999465942383</v>
      </c>
      <c r="I26" s="10">
        <v>6.4006054108523003E-3</v>
      </c>
      <c r="J26" s="10">
        <v>6.3802085247208666E-3</v>
      </c>
      <c r="K26" s="10">
        <v>0.46999931335449219</v>
      </c>
      <c r="L26" s="10">
        <v>0.1100006103515625</v>
      </c>
      <c r="M26" s="10">
        <v>0.31000137329101563</v>
      </c>
      <c r="N26" s="10">
        <v>1.7739170235311536E-2</v>
      </c>
      <c r="O26" s="10">
        <v>0.23404419373820587</v>
      </c>
      <c r="P26" s="10">
        <v>0.65957835359048755</v>
      </c>
      <c r="Q26" s="10">
        <v>0.38364661599482824</v>
      </c>
      <c r="R26" s="10">
        <v>0.34538335992654973</v>
      </c>
      <c r="S26" s="10">
        <v>-5.9679345573232087E-3</v>
      </c>
      <c r="T26" s="10">
        <v>-81.467471932274819</v>
      </c>
      <c r="U26" s="10">
        <v>-61.135697691812609</v>
      </c>
      <c r="V26" s="10">
        <v>25.356043709290429</v>
      </c>
      <c r="W26" s="10">
        <v>47.832979663027551</v>
      </c>
      <c r="X26" s="10">
        <v>-0.45000076293945313</v>
      </c>
      <c r="Y26" s="10">
        <v>0.74444431728786897</v>
      </c>
      <c r="Z26" s="10">
        <v>15111500</v>
      </c>
      <c r="AA26" s="10">
        <v>446105300</v>
      </c>
      <c r="AB26" s="10">
        <v>-75.845594529768078</v>
      </c>
      <c r="AC26" s="10">
        <v>57.46842143570499</v>
      </c>
      <c r="AD26" s="10">
        <v>14.335975995535167</v>
      </c>
      <c r="AE26" s="10">
        <v>-31.176548699024373</v>
      </c>
      <c r="AF26" s="10">
        <v>-83.088583612221612</v>
      </c>
      <c r="AG26" s="10">
        <v>1.0171431132725306</v>
      </c>
      <c r="AH26" s="10">
        <v>-6.9840149267842797</v>
      </c>
      <c r="AI26" s="10">
        <v>-82.407168952415887</v>
      </c>
      <c r="AJ26" s="10">
        <v>26.899999618530273</v>
      </c>
      <c r="AK26" s="10">
        <v>27.583749771118164</v>
      </c>
      <c r="AL26" s="10">
        <v>27.07807102203369</v>
      </c>
      <c r="AM26" s="10">
        <v>0.73362615549852672</v>
      </c>
      <c r="AN26" s="10">
        <v>28.244050798416136</v>
      </c>
      <c r="AO26" s="10">
        <v>28.545323333030744</v>
      </c>
      <c r="AP26" s="10">
        <v>25.610818711036636</v>
      </c>
      <c r="AQ26" s="10">
        <v>-6.7913349116448932E-2</v>
      </c>
      <c r="AR26" s="10">
        <v>4.186984101631816E-2</v>
      </c>
      <c r="AS26" s="10">
        <v>0.10837199664652158</v>
      </c>
      <c r="AT26" s="10">
        <v>-83.9264870202624</v>
      </c>
      <c r="AU26" s="10">
        <v>-61.469220279725967</v>
      </c>
      <c r="AV26" s="10">
        <v>23.552228170985885</v>
      </c>
      <c r="AW26" s="10">
        <v>44.277445127478749</v>
      </c>
      <c r="AX26" s="10">
        <v>-88.372108296738091</v>
      </c>
      <c r="AY26" s="10">
        <v>-59.991938901123227</v>
      </c>
      <c r="AZ26" s="10">
        <v>27.249605266169119</v>
      </c>
      <c r="BA26" s="10">
        <v>-1.9439047243968614E-2</v>
      </c>
      <c r="BB26" s="10">
        <v>46.832634229878614</v>
      </c>
      <c r="BC26" s="10">
        <v>27.230159702800453</v>
      </c>
      <c r="BD26" s="10">
        <v>27.138632272831284</v>
      </c>
      <c r="BE26" s="10">
        <v>-1.5287420037148579E-2</v>
      </c>
      <c r="BF26" s="10">
        <v>27.139995484236643</v>
      </c>
      <c r="BG26" s="10">
        <v>27.452178282508772</v>
      </c>
      <c r="BH26" s="10">
        <v>-2.7017536574638627E-2</v>
      </c>
      <c r="BI26" s="10">
        <v>1.7091499559966401</v>
      </c>
      <c r="BJ26" s="10">
        <v>27.06250814508287</v>
      </c>
      <c r="BK26" s="10">
        <v>-1.2439528939053715E-2</v>
      </c>
      <c r="BL26" s="10">
        <v>9.0164218563810294E-2</v>
      </c>
      <c r="BM26" s="10">
        <v>8.9890456764652196E-2</v>
      </c>
      <c r="BN26" s="10">
        <v>2.7376179915809817E-4</v>
      </c>
      <c r="BO26" s="10">
        <v>-87.794466786748387</v>
      </c>
      <c r="BP26" s="10">
        <v>-79.941227994722155</v>
      </c>
      <c r="BQ26" s="10">
        <v>13825722.222222222</v>
      </c>
      <c r="BR26" s="10">
        <v>14728355</v>
      </c>
      <c r="BS26" s="10">
        <v>15221454.5</v>
      </c>
      <c r="BT26">
        <v>9.2998959266745063E-2</v>
      </c>
      <c r="BU26">
        <v>2.6014106802830339E-2</v>
      </c>
      <c r="BV26" s="10">
        <v>34.843195386211399</v>
      </c>
      <c r="BW26" s="10">
        <v>39.331266767919068</v>
      </c>
      <c r="BX26" s="10">
        <v>39.331266767919068</v>
      </c>
      <c r="BY26" s="10">
        <v>54.987343217956344</v>
      </c>
      <c r="BZ26" s="10">
        <v>-88.077778208634427</v>
      </c>
      <c r="CA26" s="10">
        <v>-50.54067424742972</v>
      </c>
      <c r="CB26" s="10">
        <v>1</v>
      </c>
      <c r="CC26" s="10">
        <v>0</v>
      </c>
      <c r="CD26" s="10">
        <v>1</v>
      </c>
      <c r="CE26" s="10">
        <v>0</v>
      </c>
      <c r="CF26" s="10">
        <v>0</v>
      </c>
      <c r="CG26" s="10">
        <v>0</v>
      </c>
      <c r="CH26" s="10">
        <v>0</v>
      </c>
      <c r="CI26" s="10">
        <v>0</v>
      </c>
      <c r="CJ26" s="10">
        <v>0</v>
      </c>
      <c r="CK26" s="10">
        <v>-1</v>
      </c>
      <c r="CL26" s="10">
        <v>0</v>
      </c>
      <c r="CM26" s="10">
        <v>-1</v>
      </c>
      <c r="CN26" s="10">
        <v>0</v>
      </c>
      <c r="CO26" s="10">
        <v>0</v>
      </c>
      <c r="CP26" s="10">
        <v>0</v>
      </c>
      <c r="CQ26" s="10">
        <v>0</v>
      </c>
      <c r="CR26" s="10">
        <v>0</v>
      </c>
      <c r="CS26" s="10">
        <v>0</v>
      </c>
      <c r="CT26" s="10">
        <v>0</v>
      </c>
      <c r="CU26" s="10">
        <v>0</v>
      </c>
      <c r="CV26" s="10">
        <v>0</v>
      </c>
      <c r="CW26" s="10">
        <v>0</v>
      </c>
      <c r="CX26" s="10" t="s">
        <v>110</v>
      </c>
      <c r="CY26" s="1" t="str">
        <f>VLOOKUP(bovespa_diario_last_date_1[[#This Row],[Stock]],Patterns!H:J,2,0)</f>
        <v>CDLCLOSINGMARUBOZU_Bear</v>
      </c>
      <c r="CZ26" s="5">
        <f>IF(RIGHT(bovespa_diario_last_date_1[[#This Row],[PATTERN]],4)="Bull",1,IF(RIGHT(bovespa_diario_last_date_1[[#This Row],[PATTERN]],4)="Bear",-1,0))</f>
        <v>-1</v>
      </c>
    </row>
    <row r="27" spans="1:104" x14ac:dyDescent="0.25">
      <c r="A27" s="4">
        <v>44491</v>
      </c>
      <c r="B27" s="10">
        <v>17.760000228881836</v>
      </c>
      <c r="C27" s="10">
        <v>16.260000228881836</v>
      </c>
      <c r="D27" s="10">
        <v>17.469999313354492</v>
      </c>
      <c r="E27" s="10">
        <v>17.079999923706055</v>
      </c>
      <c r="F27" s="10">
        <v>15169200</v>
      </c>
      <c r="G27" s="10">
        <v>17.079999923706055</v>
      </c>
      <c r="H27" s="10">
        <v>17.819999694824219</v>
      </c>
      <c r="I27" s="10">
        <v>-4.1526362726767907E-2</v>
      </c>
      <c r="J27" s="10">
        <v>-4.2413221023633207E-2</v>
      </c>
      <c r="K27" s="10">
        <v>0.3899993896484375</v>
      </c>
      <c r="L27" s="10">
        <v>0.81999969482421875</v>
      </c>
      <c r="M27" s="10">
        <v>0.29000091552734375</v>
      </c>
      <c r="N27" s="10">
        <v>2.2575942012183846E-2</v>
      </c>
      <c r="O27" s="10">
        <v>2.1025666105872687</v>
      </c>
      <c r="P27" s="10">
        <v>0.74359325482217609</v>
      </c>
      <c r="Q27" s="10">
        <v>0.52706055070757019</v>
      </c>
      <c r="R27" s="10">
        <v>0.47356711740042873</v>
      </c>
      <c r="S27" s="10">
        <v>-0.15632292915030693</v>
      </c>
      <c r="T27" s="10">
        <v>-84.228249316447702</v>
      </c>
      <c r="U27" s="10">
        <v>-79.30632772175926</v>
      </c>
      <c r="V27" s="10">
        <v>-71.036204923801222</v>
      </c>
      <c r="W27" s="10">
        <v>-67.829490152358943</v>
      </c>
      <c r="X27" s="10">
        <v>-3</v>
      </c>
      <c r="Y27" s="10">
        <v>-1.427777608235677</v>
      </c>
      <c r="Z27" s="10">
        <v>-15169200</v>
      </c>
      <c r="AA27" s="10">
        <v>-57543100</v>
      </c>
      <c r="AB27" s="10">
        <v>-87.078783168036026</v>
      </c>
      <c r="AC27" s="10">
        <v>-73.29653296624727</v>
      </c>
      <c r="AD27" s="10">
        <v>17.954340540820631</v>
      </c>
      <c r="AE27" s="10">
        <v>84.160547749149771</v>
      </c>
      <c r="AF27" s="10">
        <v>-78.316134519549294</v>
      </c>
      <c r="AG27" s="10">
        <v>0.94785703931535992</v>
      </c>
      <c r="AH27" s="10">
        <v>77.87280932025034</v>
      </c>
      <c r="AI27" s="10">
        <v>-50.924766669829822</v>
      </c>
      <c r="AJ27" s="10">
        <v>17.696666717529297</v>
      </c>
      <c r="AK27" s="10">
        <v>19.107499837875366</v>
      </c>
      <c r="AL27" s="10">
        <v>20.100499820709228</v>
      </c>
      <c r="AM27" s="10">
        <v>1.2658405484112469</v>
      </c>
      <c r="AN27" s="10">
        <v>22.3739000415802</v>
      </c>
      <c r="AO27" s="10">
        <v>22.63218091753172</v>
      </c>
      <c r="AP27" s="10">
        <v>17.568818723886736</v>
      </c>
      <c r="AQ27" s="10">
        <v>-0.32506914628960615</v>
      </c>
      <c r="AR27" s="10">
        <v>-2.8619367819916013E-2</v>
      </c>
      <c r="AS27" s="10">
        <v>0.25190230286852278</v>
      </c>
      <c r="AT27" s="10">
        <v>80.346856348013731</v>
      </c>
      <c r="AU27" s="10">
        <v>9.7664875115876875</v>
      </c>
      <c r="AV27" s="10">
        <v>4.5552914129013971</v>
      </c>
      <c r="AW27" s="10">
        <v>23.883361787869887</v>
      </c>
      <c r="AX27" s="10">
        <v>-88.29321382440007</v>
      </c>
      <c r="AY27" s="10">
        <v>-84.29969696782787</v>
      </c>
      <c r="AZ27" s="10">
        <v>18.840936448717471</v>
      </c>
      <c r="BA27" s="10">
        <v>-0.10309932862279104</v>
      </c>
      <c r="BB27" s="10">
        <v>-70.353065979438313</v>
      </c>
      <c r="BC27" s="10">
        <v>19.126397144427514</v>
      </c>
      <c r="BD27" s="10">
        <v>19.545455197332839</v>
      </c>
      <c r="BE27" s="10">
        <v>-0.14434749910068057</v>
      </c>
      <c r="BF27" s="10">
        <v>19.657436246957609</v>
      </c>
      <c r="BG27" s="10">
        <v>20.063056193397149</v>
      </c>
      <c r="BH27" s="10">
        <v>-0.174652007202341</v>
      </c>
      <c r="BI27" s="10">
        <v>-29.130880327497575</v>
      </c>
      <c r="BJ27" s="10">
        <v>21.617494460407503</v>
      </c>
      <c r="BK27" s="10">
        <v>-0.26566127382727139</v>
      </c>
      <c r="BL27" s="10">
        <v>-0.53103910253009445</v>
      </c>
      <c r="BM27" s="10">
        <v>-0.15404577980846151</v>
      </c>
      <c r="BN27" s="10">
        <v>-0.37699332272163294</v>
      </c>
      <c r="BO27" s="10">
        <v>-85.124715259228395</v>
      </c>
      <c r="BP27" s="10">
        <v>-76.827461322905009</v>
      </c>
      <c r="BQ27" s="10">
        <v>6629966.666666667</v>
      </c>
      <c r="BR27" s="10">
        <v>5625885</v>
      </c>
      <c r="BS27" s="10">
        <v>7090648</v>
      </c>
      <c r="BT27">
        <v>1.2879753040487887</v>
      </c>
      <c r="BU27">
        <v>1.6963224452686112</v>
      </c>
      <c r="BV27" s="10">
        <v>15.101282665538884</v>
      </c>
      <c r="BW27" s="10">
        <v>8.7487577780048102</v>
      </c>
      <c r="BX27" s="10">
        <v>8.7487577780048102</v>
      </c>
      <c r="BY27" s="10">
        <v>9.4242388906393781</v>
      </c>
      <c r="BZ27" s="10">
        <v>-88.110119159579085</v>
      </c>
      <c r="CA27" s="10">
        <v>-87.229233587584915</v>
      </c>
      <c r="CB27" s="10">
        <v>0</v>
      </c>
      <c r="CC27" s="10">
        <v>0</v>
      </c>
      <c r="CD27" s="10">
        <v>0</v>
      </c>
      <c r="CE27" s="10">
        <v>0</v>
      </c>
      <c r="CF27" s="10">
        <v>0</v>
      </c>
      <c r="CG27" s="10">
        <v>0</v>
      </c>
      <c r="CH27" s="10">
        <v>0</v>
      </c>
      <c r="CI27" s="10">
        <v>0</v>
      </c>
      <c r="CJ27" s="10">
        <v>0</v>
      </c>
      <c r="CK27" s="10">
        <v>0</v>
      </c>
      <c r="CL27" s="10">
        <v>0</v>
      </c>
      <c r="CM27" s="10">
        <v>0</v>
      </c>
      <c r="CN27" s="10">
        <v>0</v>
      </c>
      <c r="CO27" s="10">
        <v>0</v>
      </c>
      <c r="CP27" s="10">
        <v>0</v>
      </c>
      <c r="CQ27" s="10">
        <v>0</v>
      </c>
      <c r="CR27" s="10">
        <v>0</v>
      </c>
      <c r="CS27" s="10">
        <v>0</v>
      </c>
      <c r="CT27" s="10">
        <v>0</v>
      </c>
      <c r="CU27" s="10">
        <v>0</v>
      </c>
      <c r="CV27" s="10">
        <v>0</v>
      </c>
      <c r="CW27" s="10">
        <v>0</v>
      </c>
      <c r="CX27" s="10" t="s">
        <v>111</v>
      </c>
      <c r="CY27" s="1" t="str">
        <f>VLOOKUP(bovespa_diario_last_date_1[[#This Row],[Stock]],Patterns!H:J,2,0)</f>
        <v>CDLHARAMI_Bull</v>
      </c>
      <c r="CZ27" s="5">
        <f>IF(RIGHT(bovespa_diario_last_date_1[[#This Row],[PATTERN]],4)="Bull",1,IF(RIGHT(bovespa_diario_last_date_1[[#This Row],[PATTERN]],4)="Bear",-1,0))</f>
        <v>1</v>
      </c>
    </row>
    <row r="28" spans="1:104" x14ac:dyDescent="0.25">
      <c r="A28" s="4">
        <v>44491</v>
      </c>
      <c r="B28" s="10">
        <v>68.019996643066406</v>
      </c>
      <c r="C28" s="10">
        <v>61.459999084472656</v>
      </c>
      <c r="D28" s="10">
        <v>64.669998168945313</v>
      </c>
      <c r="E28" s="10">
        <v>65.739997863769531</v>
      </c>
      <c r="F28" s="10">
        <v>6144700</v>
      </c>
      <c r="G28" s="10">
        <v>65.739997863769531</v>
      </c>
      <c r="H28" s="10">
        <v>65.349998474121094</v>
      </c>
      <c r="I28" s="10">
        <v>5.9678561400866581E-3</v>
      </c>
      <c r="J28" s="10">
        <v>5.9501190200355845E-3</v>
      </c>
      <c r="K28" s="10">
        <v>1.0699996948242188</v>
      </c>
      <c r="L28" s="10">
        <v>3.2099990844726563</v>
      </c>
      <c r="M28" s="10">
        <v>2.279998779296875</v>
      </c>
      <c r="N28" s="10">
        <v>1.6409780344687642E-2</v>
      </c>
      <c r="O28" s="10">
        <v>3</v>
      </c>
      <c r="P28" s="10">
        <v>2.1308405883904826</v>
      </c>
      <c r="Q28" s="10">
        <v>0.41962481246055644</v>
      </c>
      <c r="R28" s="10">
        <v>0.36912748945116125</v>
      </c>
      <c r="S28" s="10">
        <v>-6.4215236532436604E-2</v>
      </c>
      <c r="T28" s="10">
        <v>-84.049691647251862</v>
      </c>
      <c r="U28" s="10">
        <v>-81.097670631607613</v>
      </c>
      <c r="V28" s="10">
        <v>-69.998149728677021</v>
      </c>
      <c r="W28" s="10">
        <v>-74.409101914491217</v>
      </c>
      <c r="X28" s="10">
        <v>-6.2600021362304688</v>
      </c>
      <c r="Y28" s="10">
        <v>-3.0333319769965277</v>
      </c>
      <c r="Z28" s="10">
        <v>6144700</v>
      </c>
      <c r="AA28" s="10">
        <v>-38838500</v>
      </c>
      <c r="AB28" s="10">
        <v>-85.345627758903717</v>
      </c>
      <c r="AC28" s="10">
        <v>-79.598069654885521</v>
      </c>
      <c r="AD28" s="10">
        <v>32.873228548518007</v>
      </c>
      <c r="AE28" s="10">
        <v>86.668169833592017</v>
      </c>
      <c r="AF28" s="10">
        <v>83.342626909411621</v>
      </c>
      <c r="AG28" s="10">
        <v>3.3907138279506137</v>
      </c>
      <c r="AH28" s="10">
        <v>79.385110934176367</v>
      </c>
      <c r="AI28" s="10">
        <v>-30.815483202662922</v>
      </c>
      <c r="AJ28" s="10">
        <v>65.696665445963546</v>
      </c>
      <c r="AK28" s="10">
        <v>69.059999465942383</v>
      </c>
      <c r="AL28" s="10">
        <v>71.742999267578128</v>
      </c>
      <c r="AM28" s="10">
        <v>3.7419825656385286</v>
      </c>
      <c r="AN28" s="10">
        <v>83.687391929626472</v>
      </c>
      <c r="AO28" s="10">
        <v>79.226964398855188</v>
      </c>
      <c r="AP28" s="10">
        <v>64.259034136301068</v>
      </c>
      <c r="AQ28" s="10">
        <v>-0.20515617543879722</v>
      </c>
      <c r="AR28" s="10">
        <v>2.2527590136790201E-2</v>
      </c>
      <c r="AS28" s="10">
        <v>0.20863262499980789</v>
      </c>
      <c r="AT28" s="10">
        <v>-50.237153932285771</v>
      </c>
      <c r="AU28" s="10">
        <v>-51.991757569573366</v>
      </c>
      <c r="AV28" s="10">
        <v>20.419843644220137</v>
      </c>
      <c r="AW28" s="10">
        <v>26.3587391166609</v>
      </c>
      <c r="AX28" s="10">
        <v>-86.988464671285314</v>
      </c>
      <c r="AY28" s="10">
        <v>50.057795234124171</v>
      </c>
      <c r="AZ28" s="10">
        <v>68.639074510104578</v>
      </c>
      <c r="BA28" s="10">
        <v>-4.4099129001231363E-2</v>
      </c>
      <c r="BB28" s="10">
        <v>-76.606439729584935</v>
      </c>
      <c r="BC28" s="10">
        <v>69.564649515661799</v>
      </c>
      <c r="BD28" s="10">
        <v>71.87484038775905</v>
      </c>
      <c r="BE28" s="10">
        <v>-9.3319785873776831E-2</v>
      </c>
      <c r="BF28" s="10">
        <v>72.886171997106189</v>
      </c>
      <c r="BG28" s="10">
        <v>76.040204072640478</v>
      </c>
      <c r="BH28" s="10">
        <v>-0.15668096354696676</v>
      </c>
      <c r="BI28" s="10">
        <v>-76.380201524635893</v>
      </c>
      <c r="BJ28" s="10">
        <v>79.348998645289839</v>
      </c>
      <c r="BK28" s="10">
        <v>-0.20701249199493005</v>
      </c>
      <c r="BL28" s="10">
        <v>-3.32152248144439</v>
      </c>
      <c r="BM28" s="10">
        <v>-2.8519565781552916</v>
      </c>
      <c r="BN28" s="10">
        <v>-0.46956590328909842</v>
      </c>
      <c r="BO28" s="10">
        <v>-85.09452094307801</v>
      </c>
      <c r="BP28" s="10">
        <v>81.395480481703657</v>
      </c>
      <c r="BQ28" s="10">
        <v>3977311.111111111</v>
      </c>
      <c r="BR28" s="10">
        <v>4267295</v>
      </c>
      <c r="BS28" s="10">
        <v>3923250.5</v>
      </c>
      <c r="BT28">
        <v>0.54493823297705313</v>
      </c>
      <c r="BU28">
        <v>0.43995200706770921</v>
      </c>
      <c r="BV28" s="10">
        <v>35.139562167975711</v>
      </c>
      <c r="BW28" s="10">
        <v>17.398990972219291</v>
      </c>
      <c r="BX28" s="10">
        <v>17.398990972219291</v>
      </c>
      <c r="BY28" s="10">
        <v>15.254269292822443</v>
      </c>
      <c r="BZ28" s="10">
        <v>-87.378007868484573</v>
      </c>
      <c r="CA28" s="10">
        <v>80.219874923001967</v>
      </c>
      <c r="CB28" s="10">
        <v>0</v>
      </c>
      <c r="CC28" s="10">
        <v>0</v>
      </c>
      <c r="CD28" s="10">
        <v>0</v>
      </c>
      <c r="CE28" s="10">
        <v>0</v>
      </c>
      <c r="CF28" s="10">
        <v>0</v>
      </c>
      <c r="CG28" s="10">
        <v>0</v>
      </c>
      <c r="CH28" s="10">
        <v>0</v>
      </c>
      <c r="CI28" s="10">
        <v>0</v>
      </c>
      <c r="CJ28" s="10">
        <v>0</v>
      </c>
      <c r="CK28" s="10">
        <v>0</v>
      </c>
      <c r="CL28" s="10">
        <v>0</v>
      </c>
      <c r="CM28" s="10">
        <v>0</v>
      </c>
      <c r="CN28" s="10">
        <v>0</v>
      </c>
      <c r="CO28" s="10">
        <v>0</v>
      </c>
      <c r="CP28" s="10">
        <v>0</v>
      </c>
      <c r="CQ28" s="10">
        <v>0</v>
      </c>
      <c r="CR28" s="10">
        <v>0</v>
      </c>
      <c r="CS28" s="10">
        <v>0</v>
      </c>
      <c r="CT28" s="10">
        <v>0</v>
      </c>
      <c r="CU28" s="10">
        <v>0</v>
      </c>
      <c r="CV28" s="10">
        <v>0</v>
      </c>
      <c r="CW28" s="10">
        <v>0</v>
      </c>
      <c r="CX28" s="10" t="s">
        <v>112</v>
      </c>
      <c r="CY28" s="1" t="str">
        <f>VLOOKUP(bovespa_diario_last_date_1[[#This Row],[Stock]],Patterns!H:J,2,0)</f>
        <v>NO_PATTERN</v>
      </c>
      <c r="CZ28" s="5">
        <f>IF(RIGHT(bovespa_diario_last_date_1[[#This Row],[PATTERN]],4)="Bull",1,IF(RIGHT(bovespa_diario_last_date_1[[#This Row],[PATTERN]],4)="Bear",-1,0))</f>
        <v>0</v>
      </c>
    </row>
    <row r="29" spans="1:104" x14ac:dyDescent="0.25">
      <c r="A29" s="4">
        <v>44491</v>
      </c>
      <c r="B29" s="10">
        <v>36.209999084472656</v>
      </c>
      <c r="C29" s="10">
        <v>34.400001525878906</v>
      </c>
      <c r="D29" s="10">
        <v>35.560001373291016</v>
      </c>
      <c r="E29" s="10">
        <v>35.680000305175781</v>
      </c>
      <c r="F29" s="10">
        <v>4660700</v>
      </c>
      <c r="G29" s="10">
        <v>35.680000305175781</v>
      </c>
      <c r="H29" s="10">
        <v>36.5</v>
      </c>
      <c r="I29" s="10">
        <v>-2.2465745063677267E-2</v>
      </c>
      <c r="J29" s="10">
        <v>-2.2721944323504387E-2</v>
      </c>
      <c r="K29" s="10">
        <v>0.11999893188476563</v>
      </c>
      <c r="L29" s="10">
        <v>1.1599998474121094</v>
      </c>
      <c r="M29" s="10">
        <v>0.529998779296875</v>
      </c>
      <c r="N29" s="10">
        <v>3.3688638140792421E-3</v>
      </c>
      <c r="O29" s="10">
        <v>9.6667514384715645</v>
      </c>
      <c r="P29" s="10">
        <v>4.4166958069745998</v>
      </c>
      <c r="Q29" s="10">
        <v>0.33712589691855083</v>
      </c>
      <c r="R29" s="10">
        <v>0.25253352054975386</v>
      </c>
      <c r="S29" s="10">
        <v>-4.5474825935081155E-2</v>
      </c>
      <c r="T29" s="10">
        <v>-84.406085439696994</v>
      </c>
      <c r="U29" s="10">
        <v>-77.00119811321423</v>
      </c>
      <c r="V29" s="10">
        <v>-3.7148209282887512</v>
      </c>
      <c r="W29" s="10">
        <v>-18.250714113199621</v>
      </c>
      <c r="X29" s="10">
        <v>-2.1899986267089844</v>
      </c>
      <c r="Y29" s="10">
        <v>0.34000057644314235</v>
      </c>
      <c r="Z29" s="10">
        <v>-4660700</v>
      </c>
      <c r="AA29" s="10">
        <v>-53145800</v>
      </c>
      <c r="AB29" s="10">
        <v>-85.839332157996054</v>
      </c>
      <c r="AC29" s="10">
        <v>-50.393878033738346</v>
      </c>
      <c r="AD29" s="10">
        <v>19.926817004551229</v>
      </c>
      <c r="AE29" s="10">
        <v>-78.371219629516872</v>
      </c>
      <c r="AF29" s="10">
        <v>-76.330438450908318</v>
      </c>
      <c r="AG29" s="10">
        <v>1.2421430860246931</v>
      </c>
      <c r="AH29" s="10">
        <v>29.327372370875363</v>
      </c>
      <c r="AI29" s="10">
        <v>-17.054478899089741</v>
      </c>
      <c r="AJ29" s="10">
        <v>36.676666259765625</v>
      </c>
      <c r="AK29" s="10">
        <v>38.003750324249268</v>
      </c>
      <c r="AL29" s="10">
        <v>37.850499916076657</v>
      </c>
      <c r="AM29" s="10">
        <v>0.90995361008306308</v>
      </c>
      <c r="AN29" s="10">
        <v>38.589170694351196</v>
      </c>
      <c r="AO29" s="10">
        <v>39.670407136242787</v>
      </c>
      <c r="AP29" s="10">
        <v>36.030592695910528</v>
      </c>
      <c r="AQ29" s="10">
        <v>-0.11183875551952147</v>
      </c>
      <c r="AR29" s="10">
        <v>-9.8260198356525594E-3</v>
      </c>
      <c r="AS29" s="10">
        <v>9.6162915903424587E-2</v>
      </c>
      <c r="AT29" s="10">
        <v>-35.554434595058588</v>
      </c>
      <c r="AU29" s="10">
        <v>-76.168858906032085</v>
      </c>
      <c r="AV29" s="10">
        <v>5.0481545076029164</v>
      </c>
      <c r="AW29" s="10">
        <v>32.101448622515733</v>
      </c>
      <c r="AX29" s="10">
        <v>-89.071535788983198</v>
      </c>
      <c r="AY29" s="10">
        <v>-80.944648713118866</v>
      </c>
      <c r="AZ29" s="10">
        <v>37.438283779889012</v>
      </c>
      <c r="BA29" s="10">
        <v>-4.9279244946031357E-2</v>
      </c>
      <c r="BB29" s="10">
        <v>3.0092296330248121</v>
      </c>
      <c r="BC29" s="10">
        <v>37.52608034913402</v>
      </c>
      <c r="BD29" s="10">
        <v>37.421906231929555</v>
      </c>
      <c r="BE29" s="10">
        <v>-4.8820232955577934E-2</v>
      </c>
      <c r="BF29" s="10">
        <v>37.301803573061207</v>
      </c>
      <c r="BG29" s="10">
        <v>36.945747869820771</v>
      </c>
      <c r="BH29" s="10">
        <v>-3.5474987494923838E-2</v>
      </c>
      <c r="BI29" s="10">
        <v>45.682019614542433</v>
      </c>
      <c r="BJ29" s="10">
        <v>39.198699652106555</v>
      </c>
      <c r="BK29" s="10">
        <v>-9.8618254395596155E-2</v>
      </c>
      <c r="BL29" s="10">
        <v>0.22427677607281282</v>
      </c>
      <c r="BM29" s="10">
        <v>0.52262694040983493</v>
      </c>
      <c r="BN29" s="10">
        <v>-0.29835016433702211</v>
      </c>
      <c r="BO29" s="10">
        <v>-85.01733349842759</v>
      </c>
      <c r="BP29" s="10">
        <v>-62.643655424994684</v>
      </c>
      <c r="BQ29" s="10">
        <v>2251900</v>
      </c>
      <c r="BR29" s="10">
        <v>2827540</v>
      </c>
      <c r="BS29" s="10">
        <v>3512345.5</v>
      </c>
      <c r="BT29">
        <v>1.069674497091345</v>
      </c>
      <c r="BU29">
        <v>0.64832327747794904</v>
      </c>
      <c r="BV29" s="10">
        <v>25.651289123597774</v>
      </c>
      <c r="BW29" s="10">
        <v>31.753014428563045</v>
      </c>
      <c r="BX29" s="10">
        <v>31.753014428563045</v>
      </c>
      <c r="BY29" s="10">
        <v>41.993048777510261</v>
      </c>
      <c r="BZ29" s="10">
        <v>-88.214870847262162</v>
      </c>
      <c r="CA29" s="10">
        <v>-12.241432573406598</v>
      </c>
      <c r="CB29" s="10">
        <v>1</v>
      </c>
      <c r="CC29" s="10">
        <v>0</v>
      </c>
      <c r="CD29" s="10">
        <v>1</v>
      </c>
      <c r="CE29" s="10">
        <v>1</v>
      </c>
      <c r="CF29" s="10">
        <v>0</v>
      </c>
      <c r="CG29" s="10">
        <v>1</v>
      </c>
      <c r="CH29" s="10">
        <v>0</v>
      </c>
      <c r="CI29" s="10">
        <v>0</v>
      </c>
      <c r="CJ29" s="10">
        <v>0</v>
      </c>
      <c r="CK29" s="10">
        <v>-1</v>
      </c>
      <c r="CL29" s="10">
        <v>0</v>
      </c>
      <c r="CM29" s="10">
        <v>-1</v>
      </c>
      <c r="CN29" s="10">
        <v>0</v>
      </c>
      <c r="CO29" s="10">
        <v>0</v>
      </c>
      <c r="CP29" s="10">
        <v>0</v>
      </c>
      <c r="CQ29" s="10">
        <v>0</v>
      </c>
      <c r="CR29" s="10">
        <v>1</v>
      </c>
      <c r="CS29" s="10">
        <v>1</v>
      </c>
      <c r="CT29" s="10">
        <v>0</v>
      </c>
      <c r="CU29" s="10">
        <v>0</v>
      </c>
      <c r="CV29" s="10">
        <v>0</v>
      </c>
      <c r="CW29" s="10">
        <v>0</v>
      </c>
      <c r="CX29" s="10" t="s">
        <v>113</v>
      </c>
      <c r="CY29" s="1" t="str">
        <f>VLOOKUP(bovespa_diario_last_date_1[[#This Row],[Stock]],Patterns!H:J,2,0)</f>
        <v>CDLCLOSINGMARUBOZU_Bull</v>
      </c>
      <c r="CZ29" s="5">
        <f>IF(RIGHT(bovespa_diario_last_date_1[[#This Row],[PATTERN]],4)="Bull",1,IF(RIGHT(bovespa_diario_last_date_1[[#This Row],[PATTERN]],4)="Bear",-1,0))</f>
        <v>1</v>
      </c>
    </row>
    <row r="30" spans="1:104" x14ac:dyDescent="0.25">
      <c r="A30" s="4">
        <v>44491</v>
      </c>
      <c r="B30" s="10">
        <v>22.530000686645508</v>
      </c>
      <c r="C30" s="10">
        <v>21.620000839233398</v>
      </c>
      <c r="D30" s="10">
        <v>22.309999465942383</v>
      </c>
      <c r="E30" s="10">
        <v>22.010000228881836</v>
      </c>
      <c r="F30" s="10">
        <v>11559700</v>
      </c>
      <c r="G30" s="10">
        <v>22.010000228881836</v>
      </c>
      <c r="H30" s="10">
        <v>22.799999237060547</v>
      </c>
      <c r="I30" s="10">
        <v>-3.4649080465520288E-2</v>
      </c>
      <c r="J30" s="10">
        <v>-3.5263596560774615E-2</v>
      </c>
      <c r="K30" s="10">
        <v>0.29999923706054688</v>
      </c>
      <c r="L30" s="10">
        <v>0.3899993896484375</v>
      </c>
      <c r="M30" s="10">
        <v>0.220001220703125</v>
      </c>
      <c r="N30" s="10">
        <v>1.3537871801726633E-2</v>
      </c>
      <c r="O30" s="10">
        <v>1.300001271568989</v>
      </c>
      <c r="P30" s="10">
        <v>0.73333926732194854</v>
      </c>
      <c r="Q30" s="10">
        <v>0.38838472037907246</v>
      </c>
      <c r="R30" s="10">
        <v>0.42249616952934765</v>
      </c>
      <c r="S30" s="10">
        <v>-0.18110920953856008</v>
      </c>
      <c r="T30" s="10">
        <v>-85.881311539707369</v>
      </c>
      <c r="U30" s="10">
        <v>-84.71857082952026</v>
      </c>
      <c r="V30" s="10">
        <v>-81.543654690188845</v>
      </c>
      <c r="W30" s="10">
        <v>-73.216788279087737</v>
      </c>
      <c r="X30" s="10">
        <v>-4.3199996948242188</v>
      </c>
      <c r="Y30" s="10">
        <v>-2.1333336300320096</v>
      </c>
      <c r="Z30" s="10">
        <v>-11559700</v>
      </c>
      <c r="AA30" s="10">
        <v>-155426900</v>
      </c>
      <c r="AB30" s="10">
        <v>-87.070529112965389</v>
      </c>
      <c r="AC30" s="10">
        <v>-83.351209900984728</v>
      </c>
      <c r="AD30" s="10">
        <v>24.847902135118797</v>
      </c>
      <c r="AE30" s="10">
        <v>83.701605225996531</v>
      </c>
      <c r="AF30" s="10">
        <v>-62.671073410338103</v>
      </c>
      <c r="AG30" s="10">
        <v>0.92357131413051063</v>
      </c>
      <c r="AH30" s="10">
        <v>74.764954258639577</v>
      </c>
      <c r="AI30" s="10">
        <v>0.27493344746552001</v>
      </c>
      <c r="AJ30" s="10">
        <v>22.849999745686848</v>
      </c>
      <c r="AK30" s="10">
        <v>24.451250076293945</v>
      </c>
      <c r="AL30" s="10">
        <v>25.718000125885009</v>
      </c>
      <c r="AM30" s="10">
        <v>1.5207984954056692</v>
      </c>
      <c r="AN30" s="10">
        <v>24.303549909591673</v>
      </c>
      <c r="AO30" s="10">
        <v>28.759597116696348</v>
      </c>
      <c r="AP30" s="10">
        <v>22.67640313507367</v>
      </c>
      <c r="AQ30" s="10">
        <v>-0.30666046422651078</v>
      </c>
      <c r="AR30" s="10">
        <v>-3.0277278476234216E-2</v>
      </c>
      <c r="AS30" s="10">
        <v>0.23653448759026877</v>
      </c>
      <c r="AT30" s="10">
        <v>18.50088707904267</v>
      </c>
      <c r="AU30" s="10">
        <v>-61.594760323758628</v>
      </c>
      <c r="AV30" s="10">
        <v>1.274050078712861</v>
      </c>
      <c r="AW30" s="10">
        <v>19.205061441260796</v>
      </c>
      <c r="AX30" s="10">
        <v>-88.026910057639753</v>
      </c>
      <c r="AY30" s="10">
        <v>-87.756400701928527</v>
      </c>
      <c r="AZ30" s="10">
        <v>24.183556814092512</v>
      </c>
      <c r="BA30" s="10">
        <v>-9.8753137783183842E-2</v>
      </c>
      <c r="BB30" s="10">
        <v>-80.355840945132343</v>
      </c>
      <c r="BC30" s="10">
        <v>24.511422831494251</v>
      </c>
      <c r="BD30" s="10">
        <v>24.85552848390229</v>
      </c>
      <c r="BE30" s="10">
        <v>-0.12928342687095984</v>
      </c>
      <c r="BF30" s="10">
        <v>24.892987314966138</v>
      </c>
      <c r="BG30" s="10">
        <v>24.921807234234926</v>
      </c>
      <c r="BH30" s="10">
        <v>-0.13229472853581234</v>
      </c>
      <c r="BI30" s="10">
        <v>18.920679121418047</v>
      </c>
      <c r="BJ30" s="10">
        <v>24.411005740144127</v>
      </c>
      <c r="BK30" s="10">
        <v>-0.1090870280006475</v>
      </c>
      <c r="BL30" s="10">
        <v>-0.38156448347188743</v>
      </c>
      <c r="BM30" s="10">
        <v>0.15889524879616707</v>
      </c>
      <c r="BN30" s="10">
        <v>-0.54045973226805444</v>
      </c>
      <c r="BO30" s="10">
        <v>-87.014822954646519</v>
      </c>
      <c r="BP30" s="10">
        <v>-86.228868870867259</v>
      </c>
      <c r="BQ30" s="10">
        <v>8729222.222222222</v>
      </c>
      <c r="BR30" s="10">
        <v>8261765</v>
      </c>
      <c r="BS30" s="10">
        <v>8546630.5</v>
      </c>
      <c r="BT30">
        <v>0.3242531471557859</v>
      </c>
      <c r="BU30">
        <v>0.3991804414674105</v>
      </c>
      <c r="BV30" s="10">
        <v>6.6213825137886104</v>
      </c>
      <c r="BW30" s="10">
        <v>6.3286783330391261</v>
      </c>
      <c r="BX30" s="10">
        <v>6.3286783330391261</v>
      </c>
      <c r="BY30" s="10">
        <v>5.8084785544079409</v>
      </c>
      <c r="BZ30" s="10">
        <v>-88.963030179703523</v>
      </c>
      <c r="CA30" s="10">
        <v>-88.266049303086632</v>
      </c>
      <c r="CB30" s="10">
        <v>0</v>
      </c>
      <c r="CC30" s="10">
        <v>0</v>
      </c>
      <c r="CD30" s="10">
        <v>0</v>
      </c>
      <c r="CE30" s="10">
        <v>1</v>
      </c>
      <c r="CF30" s="10">
        <v>0</v>
      </c>
      <c r="CG30" s="10">
        <v>1</v>
      </c>
      <c r="CH30" s="10">
        <v>0</v>
      </c>
      <c r="CI30" s="10">
        <v>0</v>
      </c>
      <c r="CJ30" s="10">
        <v>0</v>
      </c>
      <c r="CK30" s="10">
        <v>0</v>
      </c>
      <c r="CL30" s="10">
        <v>0</v>
      </c>
      <c r="CM30" s="10">
        <v>0</v>
      </c>
      <c r="CN30" s="10">
        <v>0</v>
      </c>
      <c r="CO30" s="10">
        <v>0</v>
      </c>
      <c r="CP30" s="10">
        <v>0</v>
      </c>
      <c r="CQ30" s="10">
        <v>0</v>
      </c>
      <c r="CR30" s="10">
        <v>0</v>
      </c>
      <c r="CS30" s="10">
        <v>0</v>
      </c>
      <c r="CT30" s="10">
        <v>0</v>
      </c>
      <c r="CU30" s="10">
        <v>0</v>
      </c>
      <c r="CV30" s="10">
        <v>0</v>
      </c>
      <c r="CW30" s="10">
        <v>0</v>
      </c>
      <c r="CX30" s="10" t="s">
        <v>114</v>
      </c>
      <c r="CY30" s="1" t="str">
        <f>VLOOKUP(bovespa_diario_last_date_1[[#This Row],[Stock]],Patterns!H:J,2,0)</f>
        <v>CDLBELTHOLD_Bull</v>
      </c>
      <c r="CZ30" s="5">
        <f>IF(RIGHT(bovespa_diario_last_date_1[[#This Row],[PATTERN]],4)="Bull",1,IF(RIGHT(bovespa_diario_last_date_1[[#This Row],[PATTERN]],4)="Bear",-1,0))</f>
        <v>1</v>
      </c>
    </row>
    <row r="31" spans="1:104" x14ac:dyDescent="0.25">
      <c r="A31" s="4">
        <v>44491</v>
      </c>
      <c r="B31" s="10">
        <v>15.479999542236328</v>
      </c>
      <c r="C31" s="10">
        <v>14.300000190734863</v>
      </c>
      <c r="D31" s="10">
        <v>15.300000190734863</v>
      </c>
      <c r="E31" s="10">
        <v>15.180000305175781</v>
      </c>
      <c r="F31" s="10">
        <v>18596300</v>
      </c>
      <c r="G31" s="10">
        <v>15.180000305175781</v>
      </c>
      <c r="H31" s="10">
        <v>15.590000152587891</v>
      </c>
      <c r="I31" s="10">
        <v>-2.6298899512457674E-2</v>
      </c>
      <c r="J31" s="10">
        <v>-2.66509007859441E-2</v>
      </c>
      <c r="K31" s="10">
        <v>0.11999988555908203</v>
      </c>
      <c r="L31" s="10">
        <v>0.88000011444091797</v>
      </c>
      <c r="M31" s="10">
        <v>0.17999935150146484</v>
      </c>
      <c r="N31" s="10">
        <v>7.8740081106745286E-3</v>
      </c>
      <c r="O31" s="10">
        <v>7.3333412806268825</v>
      </c>
      <c r="P31" s="10">
        <v>1.4999960263532255</v>
      </c>
      <c r="Q31" s="10">
        <v>0.44204151943814785</v>
      </c>
      <c r="R31" s="10">
        <v>0.50565539380452285</v>
      </c>
      <c r="S31" s="10">
        <v>-0.12318488728153881</v>
      </c>
      <c r="T31" s="10">
        <v>-86.621552175150882</v>
      </c>
      <c r="U31" s="10">
        <v>-83.077221386134269</v>
      </c>
      <c r="V31" s="10">
        <v>-72.840283382368909</v>
      </c>
      <c r="W31" s="10">
        <v>-71.458963017082198</v>
      </c>
      <c r="X31" s="10">
        <v>-2.7299995422363281</v>
      </c>
      <c r="Y31" s="10">
        <v>-0.68111122979058158</v>
      </c>
      <c r="Z31" s="10">
        <v>-18596300</v>
      </c>
      <c r="AA31" s="10">
        <v>-20259800</v>
      </c>
      <c r="AB31" s="10">
        <v>-88.208575309951641</v>
      </c>
      <c r="AC31" s="10">
        <v>-80.184935139254833</v>
      </c>
      <c r="AD31" s="10">
        <v>20.739137661451014</v>
      </c>
      <c r="AE31" s="10">
        <v>86.582970763164496</v>
      </c>
      <c r="AF31" s="10">
        <v>-22.896667675490097</v>
      </c>
      <c r="AG31" s="10">
        <v>0.89214270455496647</v>
      </c>
      <c r="AH31" s="10">
        <v>64.799084753539447</v>
      </c>
      <c r="AI31" s="10">
        <v>4.7047350118037921</v>
      </c>
      <c r="AJ31" s="10">
        <v>15.806666692097982</v>
      </c>
      <c r="AK31" s="10">
        <v>17.085000038146973</v>
      </c>
      <c r="AL31" s="10">
        <v>17.676500034332275</v>
      </c>
      <c r="AM31" s="10">
        <v>1.0267489809947128</v>
      </c>
      <c r="AN31" s="10">
        <v>22.667079849243166</v>
      </c>
      <c r="AO31" s="10">
        <v>19.7299979963217</v>
      </c>
      <c r="AP31" s="10">
        <v>15.62300207234285</v>
      </c>
      <c r="AQ31" s="10">
        <v>-0.29973633726440368</v>
      </c>
      <c r="AR31" s="10">
        <v>-2.9183251532348266E-2</v>
      </c>
      <c r="AS31" s="10">
        <v>0.23234214442915826</v>
      </c>
      <c r="AT31" s="10">
        <v>72.088152081966982</v>
      </c>
      <c r="AU31" s="10">
        <v>43.281868097149264</v>
      </c>
      <c r="AV31" s="10">
        <v>6.0728365598941139</v>
      </c>
      <c r="AW31" s="10">
        <v>24.378703100882007</v>
      </c>
      <c r="AX31" s="10">
        <v>-88.530898816905321</v>
      </c>
      <c r="AY31" s="10">
        <v>-71.765761868628289</v>
      </c>
      <c r="AZ31" s="10">
        <v>16.777170906409985</v>
      </c>
      <c r="BA31" s="10">
        <v>-0.10521545251152807</v>
      </c>
      <c r="BB31" s="10">
        <v>-73.531483688328905</v>
      </c>
      <c r="BC31" s="10">
        <v>17.048704182361277</v>
      </c>
      <c r="BD31" s="10">
        <v>17.61339627401442</v>
      </c>
      <c r="BE31" s="10">
        <v>-0.16030276152293269</v>
      </c>
      <c r="BF31" s="10">
        <v>17.852628649403051</v>
      </c>
      <c r="BG31" s="10">
        <v>18.778074588611869</v>
      </c>
      <c r="BH31" s="10">
        <v>-0.23702728663380107</v>
      </c>
      <c r="BI31" s="10">
        <v>-67.693260890387052</v>
      </c>
      <c r="BJ31" s="10">
        <v>21.529478544609642</v>
      </c>
      <c r="BK31" s="10">
        <v>-0.4182791904996826</v>
      </c>
      <c r="BL31" s="10">
        <v>-0.80392446704177445</v>
      </c>
      <c r="BM31" s="10">
        <v>-0.58593349258016936</v>
      </c>
      <c r="BN31" s="10">
        <v>-0.21799097446160509</v>
      </c>
      <c r="BO31" s="10">
        <v>-86.255483184479772</v>
      </c>
      <c r="BP31" s="10">
        <v>45.396114661172781</v>
      </c>
      <c r="BQ31" s="10">
        <v>10447244.444444444</v>
      </c>
      <c r="BR31" s="10">
        <v>9137010</v>
      </c>
      <c r="BS31" s="10">
        <v>6844102.5</v>
      </c>
      <c r="BT31">
        <v>0.78001961176365486</v>
      </c>
      <c r="BU31">
        <v>1.0352719325030835</v>
      </c>
      <c r="BV31" s="10">
        <v>20.417634078076933</v>
      </c>
      <c r="BW31" s="10">
        <v>11.190463782895852</v>
      </c>
      <c r="BX31" s="10">
        <v>11.190463782895852</v>
      </c>
      <c r="BY31" s="10">
        <v>13.884872121646127</v>
      </c>
      <c r="BZ31" s="10">
        <v>-87.053419868400425</v>
      </c>
      <c r="CA31" s="10">
        <v>78.159774752279858</v>
      </c>
      <c r="CB31" s="10">
        <v>0</v>
      </c>
      <c r="CC31" s="10">
        <v>0</v>
      </c>
      <c r="CD31" s="10">
        <v>0</v>
      </c>
      <c r="CE31" s="10">
        <v>0</v>
      </c>
      <c r="CF31" s="10">
        <v>0</v>
      </c>
      <c r="CG31" s="10">
        <v>0</v>
      </c>
      <c r="CH31" s="10">
        <v>0</v>
      </c>
      <c r="CI31" s="10">
        <v>0</v>
      </c>
      <c r="CJ31" s="10">
        <v>0</v>
      </c>
      <c r="CK31" s="10">
        <v>0</v>
      </c>
      <c r="CL31" s="10">
        <v>0</v>
      </c>
      <c r="CM31" s="10">
        <v>0</v>
      </c>
      <c r="CN31" s="10">
        <v>0</v>
      </c>
      <c r="CO31" s="10">
        <v>0</v>
      </c>
      <c r="CP31" s="10">
        <v>0</v>
      </c>
      <c r="CQ31" s="10">
        <v>0</v>
      </c>
      <c r="CR31" s="10">
        <v>0</v>
      </c>
      <c r="CS31" s="10">
        <v>0</v>
      </c>
      <c r="CT31" s="10">
        <v>0</v>
      </c>
      <c r="CU31" s="10">
        <v>0</v>
      </c>
      <c r="CV31" s="10">
        <v>0</v>
      </c>
      <c r="CW31" s="10">
        <v>0</v>
      </c>
      <c r="CX31" s="10" t="s">
        <v>115</v>
      </c>
      <c r="CY31" s="1" t="str">
        <f>VLOOKUP(bovespa_diario_last_date_1[[#This Row],[Stock]],Patterns!H:J,2,0)</f>
        <v>NO_PATTERN</v>
      </c>
      <c r="CZ31" s="5">
        <f>IF(RIGHT(bovespa_diario_last_date_1[[#This Row],[PATTERN]],4)="Bull",1,IF(RIGHT(bovespa_diario_last_date_1[[#This Row],[PATTERN]],4)="Bear",-1,0))</f>
        <v>0</v>
      </c>
    </row>
    <row r="32" spans="1:104" x14ac:dyDescent="0.25">
      <c r="A32" s="4">
        <v>44491</v>
      </c>
      <c r="B32" s="10">
        <v>16.719999313354492</v>
      </c>
      <c r="C32" s="10">
        <v>15.630000114440918</v>
      </c>
      <c r="D32" s="10">
        <v>16.389999389648438</v>
      </c>
      <c r="E32" s="10">
        <v>16.579999923706055</v>
      </c>
      <c r="F32" s="10">
        <v>27554700</v>
      </c>
      <c r="G32" s="10">
        <v>16.579999923706055</v>
      </c>
      <c r="H32" s="10">
        <v>16.389999389648438</v>
      </c>
      <c r="I32" s="10">
        <v>1.1592467427278708E-2</v>
      </c>
      <c r="J32" s="10">
        <v>1.1525789589111997E-2</v>
      </c>
      <c r="K32" s="10">
        <v>0.19000053405761719</v>
      </c>
      <c r="L32" s="10">
        <v>0.75999927520751953</v>
      </c>
      <c r="M32" s="10">
        <v>0.1399993896484375</v>
      </c>
      <c r="N32" s="10">
        <v>1.1525661996641748E-2</v>
      </c>
      <c r="O32" s="10">
        <v>3.9999849420268032</v>
      </c>
      <c r="P32" s="10">
        <v>0.73683682176379062</v>
      </c>
      <c r="Q32" s="10">
        <v>0.35242635427212132</v>
      </c>
      <c r="R32" s="10">
        <v>0.42324273970275811</v>
      </c>
      <c r="S32" s="10">
        <v>-6.1971870872631875E-2</v>
      </c>
      <c r="T32" s="10">
        <v>-86.508324253703378</v>
      </c>
      <c r="U32" s="10">
        <v>-84.326948378238441</v>
      </c>
      <c r="V32" s="10">
        <v>-61.067577529866689</v>
      </c>
      <c r="W32" s="10">
        <v>10.126611375603446</v>
      </c>
      <c r="X32" s="10">
        <v>-1.6599998474121094</v>
      </c>
      <c r="Y32" s="10">
        <v>0.34333335028754342</v>
      </c>
      <c r="Z32" s="10">
        <v>27554700</v>
      </c>
      <c r="AA32" s="10">
        <v>-71961100</v>
      </c>
      <c r="AB32" s="10">
        <v>-86.991661632856051</v>
      </c>
      <c r="AC32" s="10">
        <v>-76.472304223677909</v>
      </c>
      <c r="AD32" s="10">
        <v>30.315838135013184</v>
      </c>
      <c r="AE32" s="10">
        <v>-79.912150476044815</v>
      </c>
      <c r="AF32" s="10">
        <v>-85.736984066318328</v>
      </c>
      <c r="AG32" s="10">
        <v>0.72071422849382671</v>
      </c>
      <c r="AH32" s="10">
        <v>77.351015755519512</v>
      </c>
      <c r="AI32" s="10">
        <v>71.949014907357039</v>
      </c>
      <c r="AJ32" s="10">
        <v>16.683333079020183</v>
      </c>
      <c r="AK32" s="10">
        <v>17.65874981880188</v>
      </c>
      <c r="AL32" s="10">
        <v>17.561499881744385</v>
      </c>
      <c r="AM32" s="10">
        <v>0.67544349568208417</v>
      </c>
      <c r="AN32" s="10">
        <v>19.780400009155272</v>
      </c>
      <c r="AO32" s="10">
        <v>18.912386873108552</v>
      </c>
      <c r="AP32" s="10">
        <v>16.210612890380219</v>
      </c>
      <c r="AQ32" s="10">
        <v>-0.14067472618426582</v>
      </c>
      <c r="AR32" s="10">
        <v>2.227907328260521E-2</v>
      </c>
      <c r="AS32" s="10">
        <v>0.15384642547171581</v>
      </c>
      <c r="AT32" s="10">
        <v>80.204737262157209</v>
      </c>
      <c r="AU32" s="10">
        <v>52.150476788350652</v>
      </c>
      <c r="AV32" s="10">
        <v>21.156285559439368</v>
      </c>
      <c r="AW32" s="10">
        <v>34.799230428693178</v>
      </c>
      <c r="AX32" s="10">
        <v>-88.528928496240326</v>
      </c>
      <c r="AY32" s="10">
        <v>-79.154255849067383</v>
      </c>
      <c r="AZ32" s="10">
        <v>17.346150319621451</v>
      </c>
      <c r="BA32" s="10">
        <v>-4.6209312390885819E-2</v>
      </c>
      <c r="BB32" s="10">
        <v>-67.694095098793071</v>
      </c>
      <c r="BC32" s="10">
        <v>17.452407495460498</v>
      </c>
      <c r="BD32" s="10">
        <v>17.636932161185708</v>
      </c>
      <c r="BE32" s="10">
        <v>-6.3747421130470189E-2</v>
      </c>
      <c r="BF32" s="10">
        <v>17.73058987705722</v>
      </c>
      <c r="BG32" s="10">
        <v>18.191240458554375</v>
      </c>
      <c r="BH32" s="10">
        <v>-9.7179767325847322E-2</v>
      </c>
      <c r="BI32" s="10">
        <v>-45.805802259460521</v>
      </c>
      <c r="BJ32" s="10">
        <v>19.548007619805386</v>
      </c>
      <c r="BK32" s="10">
        <v>-0.17901132145698498</v>
      </c>
      <c r="BL32" s="10">
        <v>-0.27818238159672148</v>
      </c>
      <c r="BM32" s="10">
        <v>-0.17574264560353411</v>
      </c>
      <c r="BN32" s="10">
        <v>-0.10243973599318737</v>
      </c>
      <c r="BO32" s="10">
        <v>-87.762060105293102</v>
      </c>
      <c r="BP32" s="10">
        <v>-45.693185015195091</v>
      </c>
      <c r="BQ32" s="10">
        <v>12659122.222222222</v>
      </c>
      <c r="BR32" s="10">
        <v>12691165</v>
      </c>
      <c r="BS32" s="10">
        <v>10468831</v>
      </c>
      <c r="BT32">
        <v>1.1766675063480792</v>
      </c>
      <c r="BU32">
        <v>1.1711718348945901</v>
      </c>
      <c r="BV32" s="10">
        <v>30.448712952273183</v>
      </c>
      <c r="BW32" s="10">
        <v>18.586740128935844</v>
      </c>
      <c r="BX32" s="10">
        <v>18.586740128935844</v>
      </c>
      <c r="BY32" s="10">
        <v>29.146851641996133</v>
      </c>
      <c r="BZ32" s="10">
        <v>-89.260398118104419</v>
      </c>
      <c r="CA32" s="10">
        <v>86.355235753069366</v>
      </c>
      <c r="CB32" s="10">
        <v>0</v>
      </c>
      <c r="CC32" s="10">
        <v>0</v>
      </c>
      <c r="CD32" s="10">
        <v>0</v>
      </c>
      <c r="CE32" s="10">
        <v>0</v>
      </c>
      <c r="CF32" s="10">
        <v>0</v>
      </c>
      <c r="CG32" s="10">
        <v>0</v>
      </c>
      <c r="CH32" s="10">
        <v>0</v>
      </c>
      <c r="CI32" s="10">
        <v>0</v>
      </c>
      <c r="CJ32" s="10">
        <v>0</v>
      </c>
      <c r="CK32" s="10">
        <v>0</v>
      </c>
      <c r="CL32" s="10">
        <v>0</v>
      </c>
      <c r="CM32" s="10">
        <v>0</v>
      </c>
      <c r="CN32" s="10">
        <v>0</v>
      </c>
      <c r="CO32" s="10">
        <v>0</v>
      </c>
      <c r="CP32" s="10">
        <v>0</v>
      </c>
      <c r="CQ32" s="10">
        <v>0</v>
      </c>
      <c r="CR32" s="10">
        <v>0</v>
      </c>
      <c r="CS32" s="10">
        <v>0</v>
      </c>
      <c r="CT32" s="10">
        <v>0</v>
      </c>
      <c r="CU32" s="10">
        <v>0</v>
      </c>
      <c r="CV32" s="10">
        <v>0</v>
      </c>
      <c r="CW32" s="10">
        <v>0</v>
      </c>
      <c r="CX32" s="10" t="s">
        <v>116</v>
      </c>
      <c r="CY32" s="1" t="str">
        <f>VLOOKUP(bovespa_diario_last_date_1[[#This Row],[Stock]],Patterns!H:J,2,0)</f>
        <v>NO_PATTERN</v>
      </c>
      <c r="CZ32" s="5">
        <f>IF(RIGHT(bovespa_diario_last_date_1[[#This Row],[PATTERN]],4)="Bull",1,IF(RIGHT(bovespa_diario_last_date_1[[#This Row],[PATTERN]],4)="Bear",-1,0))</f>
        <v>0</v>
      </c>
    </row>
    <row r="33" spans="1:104" x14ac:dyDescent="0.25">
      <c r="A33" s="4">
        <v>44491</v>
      </c>
      <c r="B33" s="10">
        <v>22.309999465942383</v>
      </c>
      <c r="C33" s="10">
        <v>20.190000534057617</v>
      </c>
      <c r="D33" s="10">
        <v>21.319999694824219</v>
      </c>
      <c r="E33" s="10">
        <v>21.510000228881836</v>
      </c>
      <c r="F33" s="10">
        <v>27917600</v>
      </c>
      <c r="G33" s="10">
        <v>21.510000228881836</v>
      </c>
      <c r="H33" s="10">
        <v>22.030000686645508</v>
      </c>
      <c r="I33" s="10">
        <v>-2.360419616686138E-2</v>
      </c>
      <c r="J33" s="10">
        <v>-2.388723806255174E-2</v>
      </c>
      <c r="K33" s="10">
        <v>0.19000053405761719</v>
      </c>
      <c r="L33" s="10">
        <v>1.1299991607666016</v>
      </c>
      <c r="M33" s="10">
        <v>0.79999923706054688</v>
      </c>
      <c r="N33" s="10">
        <v>8.8723107352822305E-3</v>
      </c>
      <c r="O33" s="10">
        <v>5.9473472870551625</v>
      </c>
      <c r="P33" s="10">
        <v>4.2105104652913719</v>
      </c>
      <c r="Q33" s="10">
        <v>0.3500702263692414</v>
      </c>
      <c r="R33" s="10">
        <v>0.38206637168512386</v>
      </c>
      <c r="S33" s="10">
        <v>-0.11161701090835918</v>
      </c>
      <c r="T33" s="10">
        <v>-87.147925438469997</v>
      </c>
      <c r="U33" s="10">
        <v>-85.164364392642412</v>
      </c>
      <c r="V33" s="10">
        <v>-72.407478255940148</v>
      </c>
      <c r="W33" s="10">
        <v>-61.495684758057273</v>
      </c>
      <c r="X33" s="10">
        <v>-3.1999988555908203</v>
      </c>
      <c r="Y33" s="10">
        <v>-5.3333282470703125E-2</v>
      </c>
      <c r="Z33" s="10">
        <v>-27917600</v>
      </c>
      <c r="AA33" s="10">
        <v>173078300</v>
      </c>
      <c r="AB33" s="10">
        <v>-85.512678209363685</v>
      </c>
      <c r="AC33" s="10">
        <v>43.298956263759379</v>
      </c>
      <c r="AD33" s="10">
        <v>33.296601799969601</v>
      </c>
      <c r="AE33" s="10">
        <v>84.860949581189189</v>
      </c>
      <c r="AF33" s="10">
        <v>-84.81468202159877</v>
      </c>
      <c r="AG33" s="10">
        <v>1.0371422086443221</v>
      </c>
      <c r="AH33" s="10">
        <v>81.602622234827123</v>
      </c>
      <c r="AI33" s="10">
        <v>65.172734535475357</v>
      </c>
      <c r="AJ33" s="10">
        <v>22.266667048136394</v>
      </c>
      <c r="AK33" s="10">
        <v>23.671249866485596</v>
      </c>
      <c r="AL33" s="10">
        <v>23.938999748229982</v>
      </c>
      <c r="AM33" s="10">
        <v>0.97996692229613103</v>
      </c>
      <c r="AN33" s="10">
        <v>23.779704036712648</v>
      </c>
      <c r="AO33" s="10">
        <v>25.898933592822242</v>
      </c>
      <c r="AP33" s="10">
        <v>21.979065903637721</v>
      </c>
      <c r="AQ33" s="10">
        <v>-0.20404153032259445</v>
      </c>
      <c r="AR33" s="10">
        <v>-2.180686516804696E-2</v>
      </c>
      <c r="AS33" s="10">
        <v>0.16374400477924525</v>
      </c>
      <c r="AT33" s="10">
        <v>81.901223328627793</v>
      </c>
      <c r="AU33" s="10">
        <v>43.70477601861645</v>
      </c>
      <c r="AV33" s="10">
        <v>4.9622375845465569</v>
      </c>
      <c r="AW33" s="10">
        <v>23.542903715881451</v>
      </c>
      <c r="AX33" s="10">
        <v>-88.595062224159889</v>
      </c>
      <c r="AY33" s="10">
        <v>-76.001171714708491</v>
      </c>
      <c r="AZ33" s="10">
        <v>23.249293098056636</v>
      </c>
      <c r="BA33" s="10">
        <v>-8.0859732713504245E-2</v>
      </c>
      <c r="BB33" s="10">
        <v>-74.480242610420547</v>
      </c>
      <c r="BC33" s="10">
        <v>23.488185351035881</v>
      </c>
      <c r="BD33" s="10">
        <v>23.945628504178131</v>
      </c>
      <c r="BE33" s="10">
        <v>-0.1132323686368881</v>
      </c>
      <c r="BF33" s="10">
        <v>24.145822848065258</v>
      </c>
      <c r="BG33" s="10">
        <v>24.834573102005944</v>
      </c>
      <c r="BH33" s="10">
        <v>-0.15455940668285761</v>
      </c>
      <c r="BI33" s="10">
        <v>-63.868761001630943</v>
      </c>
      <c r="BJ33" s="10">
        <v>24.147181823243596</v>
      </c>
      <c r="BK33" s="10">
        <v>-0.1226025832775572</v>
      </c>
      <c r="BL33" s="10">
        <v>-0.65763749702937702</v>
      </c>
      <c r="BM33" s="10">
        <v>-0.44248784202994729</v>
      </c>
      <c r="BN33" s="10">
        <v>-0.21514965499942973</v>
      </c>
      <c r="BO33" s="10">
        <v>-87.708634463385252</v>
      </c>
      <c r="BP33" s="10">
        <v>-4.280909564880746</v>
      </c>
      <c r="BQ33" s="10">
        <v>15499588.888888888</v>
      </c>
      <c r="BR33" s="10">
        <v>13308765</v>
      </c>
      <c r="BS33" s="10">
        <v>11317839</v>
      </c>
      <c r="BT33">
        <v>0.80118325719033412</v>
      </c>
      <c r="BU33">
        <v>1.097685247278767</v>
      </c>
      <c r="BV33" s="10">
        <v>23.783781554595887</v>
      </c>
      <c r="BW33" s="10">
        <v>18.745074443521162</v>
      </c>
      <c r="BX33" s="10">
        <v>18.745074443521162</v>
      </c>
      <c r="BY33" s="10">
        <v>24.819341930657004</v>
      </c>
      <c r="BZ33" s="10">
        <v>-87.782088467164513</v>
      </c>
      <c r="CA33" s="10">
        <v>79.626481216157629</v>
      </c>
      <c r="CB33" s="10">
        <v>0</v>
      </c>
      <c r="CC33" s="10">
        <v>0</v>
      </c>
      <c r="CD33" s="10">
        <v>0</v>
      </c>
      <c r="CE33" s="10">
        <v>0</v>
      </c>
      <c r="CF33" s="10">
        <v>0</v>
      </c>
      <c r="CG33" s="10">
        <v>0</v>
      </c>
      <c r="CH33" s="10">
        <v>0</v>
      </c>
      <c r="CI33" s="10">
        <v>0</v>
      </c>
      <c r="CJ33" s="10">
        <v>0</v>
      </c>
      <c r="CK33" s="10">
        <v>0</v>
      </c>
      <c r="CL33" s="10">
        <v>0</v>
      </c>
      <c r="CM33" s="10">
        <v>0</v>
      </c>
      <c r="CN33" s="10">
        <v>0</v>
      </c>
      <c r="CO33" s="10">
        <v>0</v>
      </c>
      <c r="CP33" s="10">
        <v>0</v>
      </c>
      <c r="CQ33" s="10">
        <v>0</v>
      </c>
      <c r="CR33" s="10">
        <v>0</v>
      </c>
      <c r="CS33" s="10">
        <v>0</v>
      </c>
      <c r="CT33" s="10">
        <v>0</v>
      </c>
      <c r="CU33" s="10">
        <v>0</v>
      </c>
      <c r="CV33" s="10">
        <v>0</v>
      </c>
      <c r="CW33" s="10">
        <v>0</v>
      </c>
      <c r="CX33" s="10" t="s">
        <v>117</v>
      </c>
      <c r="CY33" s="1" t="str">
        <f>VLOOKUP(bovespa_diario_last_date_1[[#This Row],[Stock]],Patterns!H:J,2,0)</f>
        <v>CDL3INSIDE_Bull</v>
      </c>
      <c r="CZ33" s="5">
        <f>IF(RIGHT(bovespa_diario_last_date_1[[#This Row],[PATTERN]],4)="Bull",1,IF(RIGHT(bovespa_diario_last_date_1[[#This Row],[PATTERN]],4)="Bear",-1,0))</f>
        <v>1</v>
      </c>
    </row>
    <row r="34" spans="1:104" x14ac:dyDescent="0.25">
      <c r="A34" s="4">
        <v>44491</v>
      </c>
      <c r="B34" s="10">
        <v>23.610000610351563</v>
      </c>
      <c r="C34" s="10">
        <v>22.450000762939453</v>
      </c>
      <c r="D34" s="10">
        <v>23.600000381469727</v>
      </c>
      <c r="E34" s="10">
        <v>23.139999389648438</v>
      </c>
      <c r="F34" s="10">
        <v>10917700</v>
      </c>
      <c r="G34" s="10">
        <v>23.139999389648438</v>
      </c>
      <c r="H34" s="10">
        <v>23.840000152587891</v>
      </c>
      <c r="I34" s="10">
        <v>-2.9362447921942092E-2</v>
      </c>
      <c r="J34" s="10">
        <v>-2.9802153208589623E-2</v>
      </c>
      <c r="K34" s="10">
        <v>0.46000099182128906</v>
      </c>
      <c r="L34" s="10">
        <v>0.68999862670898438</v>
      </c>
      <c r="M34" s="10">
        <v>1.0000228881835938E-2</v>
      </c>
      <c r="N34" s="10">
        <v>1.9683397264607407E-2</v>
      </c>
      <c r="O34" s="10">
        <v>1.4999937803983032</v>
      </c>
      <c r="P34" s="10">
        <v>2.1739581130557732E-2</v>
      </c>
      <c r="Q34" s="10">
        <v>0.29631892045047775</v>
      </c>
      <c r="R34" s="10">
        <v>0.21372040816074755</v>
      </c>
      <c r="S34" s="10">
        <v>-4.8090299082531818E-2</v>
      </c>
      <c r="T34" s="10">
        <v>-86.045573726746795</v>
      </c>
      <c r="U34" s="10">
        <v>-82.049820968587795</v>
      </c>
      <c r="V34" s="10">
        <v>-68.774443317594759</v>
      </c>
      <c r="W34" s="10">
        <v>-75.536777890875456</v>
      </c>
      <c r="X34" s="10">
        <v>-1.4800014495849609</v>
      </c>
      <c r="Y34" s="10">
        <v>-0.61444452073838973</v>
      </c>
      <c r="Z34" s="10">
        <v>-10917700</v>
      </c>
      <c r="AA34" s="10">
        <v>70098400</v>
      </c>
      <c r="AB34" s="10">
        <v>-87.353946290844334</v>
      </c>
      <c r="AC34" s="10">
        <v>-54.345413284517349</v>
      </c>
      <c r="AD34" s="10">
        <v>15.681013709919029</v>
      </c>
      <c r="AE34" s="10">
        <v>86.343506252214794</v>
      </c>
      <c r="AF34" s="10">
        <v>-32.921880208276619</v>
      </c>
      <c r="AG34" s="10">
        <v>0.80428532191685265</v>
      </c>
      <c r="AH34" s="10">
        <v>82.183811731226825</v>
      </c>
      <c r="AI34" s="10">
        <v>67.056387264494631</v>
      </c>
      <c r="AJ34" s="10">
        <v>23.640000025431316</v>
      </c>
      <c r="AK34" s="10">
        <v>24.297500133514404</v>
      </c>
      <c r="AL34" s="10">
        <v>24.730000209808349</v>
      </c>
      <c r="AM34" s="10">
        <v>0.69715221278397066</v>
      </c>
      <c r="AN34" s="10">
        <v>23.760885715484619</v>
      </c>
      <c r="AO34" s="10">
        <v>26.124304635376291</v>
      </c>
      <c r="AP34" s="10">
        <v>23.335695784240407</v>
      </c>
      <c r="AQ34" s="10">
        <v>-0.1289673865360112</v>
      </c>
      <c r="AR34" s="10">
        <v>-8.4570613549589564E-3</v>
      </c>
      <c r="AS34" s="10">
        <v>0.11276218469379036</v>
      </c>
      <c r="AT34" s="10">
        <v>75.361725833730432</v>
      </c>
      <c r="AU34" s="10">
        <v>66.023754973669313</v>
      </c>
      <c r="AV34" s="10">
        <v>5.2203331996280582</v>
      </c>
      <c r="AW34" s="10">
        <v>24.920638653646179</v>
      </c>
      <c r="AX34" s="10">
        <v>-88.244383735226648</v>
      </c>
      <c r="AY34" s="10">
        <v>-63.559803907919701</v>
      </c>
      <c r="AZ34" s="10">
        <v>24.13696320358396</v>
      </c>
      <c r="BA34" s="10">
        <v>-4.3084003467239042E-2</v>
      </c>
      <c r="BB34" s="10">
        <v>-73.075683314032162</v>
      </c>
      <c r="BC34" s="10">
        <v>24.287675955063889</v>
      </c>
      <c r="BD34" s="10">
        <v>24.570508671375233</v>
      </c>
      <c r="BE34" s="10">
        <v>-6.1819763157242198E-2</v>
      </c>
      <c r="BF34" s="10">
        <v>24.658091192465228</v>
      </c>
      <c r="BG34" s="10">
        <v>24.791763119593739</v>
      </c>
      <c r="BH34" s="10">
        <v>-7.1381321240838472E-2</v>
      </c>
      <c r="BI34" s="10">
        <v>-51.751114641576422</v>
      </c>
      <c r="BJ34" s="10">
        <v>23.946806495816578</v>
      </c>
      <c r="BK34" s="10">
        <v>-3.4866340857772939E-2</v>
      </c>
      <c r="BL34" s="10">
        <v>-0.37041523740133897</v>
      </c>
      <c r="BM34" s="10">
        <v>-0.21375126743820544</v>
      </c>
      <c r="BN34" s="10">
        <v>-0.15666396996313353</v>
      </c>
      <c r="BO34" s="10">
        <v>-84.028812761505179</v>
      </c>
      <c r="BP34" s="10">
        <v>57.375725560082358</v>
      </c>
      <c r="BQ34" s="10">
        <v>6810066.666666667</v>
      </c>
      <c r="BR34" s="10">
        <v>5779460</v>
      </c>
      <c r="BS34" s="10">
        <v>7580322.5</v>
      </c>
      <c r="BT34">
        <v>0.60317079617429092</v>
      </c>
      <c r="BU34">
        <v>0.8890519183453125</v>
      </c>
      <c r="BV34" s="10">
        <v>23.076878913972191</v>
      </c>
      <c r="BW34" s="10">
        <v>21.671361746769914</v>
      </c>
      <c r="BX34" s="10">
        <v>21.671361746769914</v>
      </c>
      <c r="BY34" s="10">
        <v>22.553300995704578</v>
      </c>
      <c r="BZ34" s="10">
        <v>-87.05585604720423</v>
      </c>
      <c r="CA34" s="10">
        <v>-57.96346739866113</v>
      </c>
      <c r="CB34" s="10">
        <v>0</v>
      </c>
      <c r="CC34" s="10">
        <v>0</v>
      </c>
      <c r="CD34" s="10">
        <v>0</v>
      </c>
      <c r="CE34" s="10">
        <v>0</v>
      </c>
      <c r="CF34" s="10">
        <v>0</v>
      </c>
      <c r="CG34" s="10">
        <v>0</v>
      </c>
      <c r="CH34" s="10">
        <v>0</v>
      </c>
      <c r="CI34" s="10">
        <v>0</v>
      </c>
      <c r="CJ34" s="10">
        <v>0</v>
      </c>
      <c r="CK34" s="10">
        <v>0</v>
      </c>
      <c r="CL34" s="10">
        <v>0</v>
      </c>
      <c r="CM34" s="10">
        <v>0</v>
      </c>
      <c r="CN34" s="10">
        <v>0</v>
      </c>
      <c r="CO34" s="10">
        <v>0</v>
      </c>
      <c r="CP34" s="10">
        <v>0</v>
      </c>
      <c r="CQ34" s="10">
        <v>0</v>
      </c>
      <c r="CR34" s="10">
        <v>0</v>
      </c>
      <c r="CS34" s="10">
        <v>0</v>
      </c>
      <c r="CT34" s="10">
        <v>0</v>
      </c>
      <c r="CU34" s="10">
        <v>0</v>
      </c>
      <c r="CV34" s="10">
        <v>0</v>
      </c>
      <c r="CW34" s="10">
        <v>0</v>
      </c>
      <c r="CX34" s="10" t="s">
        <v>118</v>
      </c>
      <c r="CY34" s="1" t="str">
        <f>VLOOKUP(bovespa_diario_last_date_1[[#This Row],[Stock]],Patterns!H:J,2,0)</f>
        <v>CDLSHORTLINE_Bear</v>
      </c>
      <c r="CZ34" s="5">
        <f>IF(RIGHT(bovespa_diario_last_date_1[[#This Row],[PATTERN]],4)="Bull",1,IF(RIGHT(bovespa_diario_last_date_1[[#This Row],[PATTERN]],4)="Bear",-1,0))</f>
        <v>-1</v>
      </c>
    </row>
    <row r="35" spans="1:104" x14ac:dyDescent="0.25">
      <c r="A35" s="4">
        <v>44491</v>
      </c>
      <c r="B35" s="10">
        <v>21.979999542236328</v>
      </c>
      <c r="C35" s="10">
        <v>20.559999465942383</v>
      </c>
      <c r="D35" s="10">
        <v>20.569999694824219</v>
      </c>
      <c r="E35" s="10">
        <v>21.569999694824219</v>
      </c>
      <c r="F35" s="10">
        <v>9593000</v>
      </c>
      <c r="G35" s="10">
        <v>21.569999694824219</v>
      </c>
      <c r="H35" s="10">
        <v>21.370000839233398</v>
      </c>
      <c r="I35" s="10">
        <v>9.3588604462588876E-3</v>
      </c>
      <c r="J35" s="10">
        <v>9.3153376502832924E-3</v>
      </c>
      <c r="K35" s="10">
        <v>1</v>
      </c>
      <c r="L35" s="10">
        <v>1.0000228881835938E-2</v>
      </c>
      <c r="M35" s="10">
        <v>0.40999984741210938</v>
      </c>
      <c r="N35" s="10">
        <v>4.746084549045565E-2</v>
      </c>
      <c r="O35" s="10">
        <v>1.0000228881835938E-2</v>
      </c>
      <c r="P35" s="10">
        <v>0.40999984741210938</v>
      </c>
      <c r="Q35" s="10">
        <v>0.32547906152374906</v>
      </c>
      <c r="R35" s="10">
        <v>0.33062669881699863</v>
      </c>
      <c r="S35" s="10">
        <v>-6.7229612704503602E-2</v>
      </c>
      <c r="T35" s="10">
        <v>-86.17323883053281</v>
      </c>
      <c r="U35" s="10">
        <v>-81.773661316520176</v>
      </c>
      <c r="V35" s="10">
        <v>-72.961161164200661</v>
      </c>
      <c r="W35" s="10">
        <v>-81.926087135514194</v>
      </c>
      <c r="X35" s="10">
        <v>-1.6499996185302734</v>
      </c>
      <c r="Y35" s="10">
        <v>-0.91666645473904085</v>
      </c>
      <c r="Z35" s="10">
        <v>9593000</v>
      </c>
      <c r="AA35" s="10">
        <v>53790700</v>
      </c>
      <c r="AB35" s="10">
        <v>-82.837872208138222</v>
      </c>
      <c r="AC35" s="10">
        <v>82.184065541194727</v>
      </c>
      <c r="AD35" s="10">
        <v>36.886765925576142</v>
      </c>
      <c r="AE35" s="10">
        <v>86.577384866338491</v>
      </c>
      <c r="AF35" s="10">
        <v>84.992439079211678</v>
      </c>
      <c r="AG35" s="10">
        <v>0.85499967847551617</v>
      </c>
      <c r="AH35" s="10">
        <v>73.661962307238511</v>
      </c>
      <c r="AI35" s="10">
        <v>55.615535019237257</v>
      </c>
      <c r="AJ35" s="10">
        <v>21.549999872843426</v>
      </c>
      <c r="AK35" s="10">
        <v>22.254999876022339</v>
      </c>
      <c r="AL35" s="10">
        <v>22.939999866485596</v>
      </c>
      <c r="AM35" s="10">
        <v>1.0581213267654737</v>
      </c>
      <c r="AN35" s="10">
        <v>25.365644674301148</v>
      </c>
      <c r="AO35" s="10">
        <v>25.056242520016543</v>
      </c>
      <c r="AP35" s="10">
        <v>20.82375721295465</v>
      </c>
      <c r="AQ35" s="10">
        <v>-0.16162461170682621</v>
      </c>
      <c r="AR35" s="10">
        <v>3.4596313974386922E-2</v>
      </c>
      <c r="AS35" s="10">
        <v>0.18450241201811779</v>
      </c>
      <c r="AT35" s="10">
        <v>-84.787271854785828</v>
      </c>
      <c r="AU35" s="10">
        <v>-55.061578255723148</v>
      </c>
      <c r="AV35" s="10">
        <v>28.833957076780379</v>
      </c>
      <c r="AW35" s="10">
        <v>30.989761728759532</v>
      </c>
      <c r="AX35" s="10">
        <v>-86.196787157845662</v>
      </c>
      <c r="AY35" s="10">
        <v>79.875430727141307</v>
      </c>
      <c r="AZ35" s="10">
        <v>22.177383619373131</v>
      </c>
      <c r="BA35" s="10">
        <v>-2.8158735889767118E-2</v>
      </c>
      <c r="BB35" s="10">
        <v>-80.974573616996622</v>
      </c>
      <c r="BC35" s="10">
        <v>22.399763786000296</v>
      </c>
      <c r="BD35" s="10">
        <v>23.005341188431398</v>
      </c>
      <c r="BE35" s="10">
        <v>-6.6543417427659651E-2</v>
      </c>
      <c r="BF35" s="10">
        <v>23.284210480337737</v>
      </c>
      <c r="BG35" s="10">
        <v>24.163808127865554</v>
      </c>
      <c r="BH35" s="10">
        <v>-0.12025074036805512</v>
      </c>
      <c r="BI35" s="10">
        <v>-82.472091159617946</v>
      </c>
      <c r="BJ35" s="10">
        <v>24.994766910308957</v>
      </c>
      <c r="BK35" s="10">
        <v>-0.15877456021969816</v>
      </c>
      <c r="BL35" s="10">
        <v>-0.88444669433744139</v>
      </c>
      <c r="BM35" s="10">
        <v>-0.81229261594244939</v>
      </c>
      <c r="BN35" s="10">
        <v>-7.2154078394991994E-2</v>
      </c>
      <c r="BO35" s="10">
        <v>-83.993478552488824</v>
      </c>
      <c r="BP35" s="10">
        <v>85.735576704385238</v>
      </c>
      <c r="BQ35" s="10">
        <v>6195822.222222222</v>
      </c>
      <c r="BR35" s="10">
        <v>6509220</v>
      </c>
      <c r="BS35" s="10">
        <v>5676981.5</v>
      </c>
      <c r="BT35">
        <v>0.54830136436021415</v>
      </c>
      <c r="BU35">
        <v>0.4737556880855156</v>
      </c>
      <c r="BV35" s="10">
        <v>34.006727736048745</v>
      </c>
      <c r="BW35" s="10">
        <v>19.386560457222199</v>
      </c>
      <c r="BX35" s="10">
        <v>19.386560457222199</v>
      </c>
      <c r="BY35" s="10">
        <v>16.970961229682697</v>
      </c>
      <c r="BZ35" s="10">
        <v>-85.720038101392873</v>
      </c>
      <c r="CA35" s="10">
        <v>82.383901819950182</v>
      </c>
      <c r="CB35" s="10">
        <v>0</v>
      </c>
      <c r="CC35" s="10">
        <v>0</v>
      </c>
      <c r="CD35" s="10">
        <v>0</v>
      </c>
      <c r="CE35" s="10">
        <v>0</v>
      </c>
      <c r="CF35" s="10">
        <v>0</v>
      </c>
      <c r="CG35" s="10">
        <v>0</v>
      </c>
      <c r="CH35" s="10">
        <v>0</v>
      </c>
      <c r="CI35" s="10">
        <v>0</v>
      </c>
      <c r="CJ35" s="10">
        <v>0</v>
      </c>
      <c r="CK35" s="10">
        <v>0</v>
      </c>
      <c r="CL35" s="10">
        <v>0</v>
      </c>
      <c r="CM35" s="10">
        <v>0</v>
      </c>
      <c r="CN35" s="10">
        <v>0</v>
      </c>
      <c r="CO35" s="10">
        <v>0</v>
      </c>
      <c r="CP35" s="10">
        <v>0</v>
      </c>
      <c r="CQ35" s="10">
        <v>0</v>
      </c>
      <c r="CR35" s="10">
        <v>0</v>
      </c>
      <c r="CS35" s="10">
        <v>0</v>
      </c>
      <c r="CT35" s="10">
        <v>0</v>
      </c>
      <c r="CU35" s="10">
        <v>0</v>
      </c>
      <c r="CV35" s="10">
        <v>0</v>
      </c>
      <c r="CW35" s="10">
        <v>0</v>
      </c>
      <c r="CX35" s="10" t="s">
        <v>119</v>
      </c>
      <c r="CY35" s="1" t="str">
        <f>VLOOKUP(bovespa_diario_last_date_1[[#This Row],[Stock]],Patterns!H:J,2,0)</f>
        <v>CDLRICKSHAWMAN_Bull</v>
      </c>
      <c r="CZ35" s="5">
        <f>IF(RIGHT(bovespa_diario_last_date_1[[#This Row],[PATTERN]],4)="Bull",1,IF(RIGHT(bovespa_diario_last_date_1[[#This Row],[PATTERN]],4)="Bear",-1,0))</f>
        <v>1</v>
      </c>
    </row>
    <row r="36" spans="1:104" x14ac:dyDescent="0.25">
      <c r="A36" s="4">
        <v>44491</v>
      </c>
      <c r="B36" s="10">
        <v>25.670000076293945</v>
      </c>
      <c r="C36" s="10">
        <v>24.399999618530273</v>
      </c>
      <c r="D36" s="10">
        <v>25.120000839233398</v>
      </c>
      <c r="E36" s="10">
        <v>25.120000839233398</v>
      </c>
      <c r="F36" s="10">
        <v>10490800</v>
      </c>
      <c r="G36" s="10">
        <v>25.120000839233398</v>
      </c>
      <c r="H36" s="10">
        <v>25.290000915527344</v>
      </c>
      <c r="I36" s="10">
        <v>-6.7220272890370358E-3</v>
      </c>
      <c r="J36" s="10">
        <v>-6.7447218740632224E-3</v>
      </c>
      <c r="K36" s="10">
        <v>0</v>
      </c>
      <c r="L36" s="10">
        <v>0.720001220703125</v>
      </c>
      <c r="M36" s="10">
        <v>0.54999923706054688</v>
      </c>
      <c r="N36" s="10">
        <v>0</v>
      </c>
      <c r="O36" s="10"/>
      <c r="P36" s="10"/>
      <c r="Q36" s="10">
        <v>0.32271192727061232</v>
      </c>
      <c r="R36" s="10">
        <v>0.37528866457397769</v>
      </c>
      <c r="S36" s="10">
        <v>-2.3215610659051027E-2</v>
      </c>
      <c r="T36" s="10">
        <v>-82.011147030490477</v>
      </c>
      <c r="U36" s="10">
        <v>-79.20186924570541</v>
      </c>
      <c r="V36" s="10">
        <v>-35.233251008062965</v>
      </c>
      <c r="W36" s="10">
        <v>64.167807235129402</v>
      </c>
      <c r="X36" s="10">
        <v>-1.029998779296875</v>
      </c>
      <c r="Y36" s="10">
        <v>0.64777819315592444</v>
      </c>
      <c r="Z36" s="10">
        <v>-10490800</v>
      </c>
      <c r="AA36" s="10">
        <v>1055477100</v>
      </c>
      <c r="AB36" s="10">
        <v>-74.134784183950543</v>
      </c>
      <c r="AC36" s="10">
        <v>-33.402085785233915</v>
      </c>
      <c r="AD36" s="10">
        <v>40.809312309403644</v>
      </c>
      <c r="AE36" s="10">
        <v>-87.351447009176596</v>
      </c>
      <c r="AF36" s="10">
        <v>80.182479440568613</v>
      </c>
      <c r="AG36" s="10">
        <v>0.90357140132359093</v>
      </c>
      <c r="AH36" s="10">
        <v>65.184988633326654</v>
      </c>
      <c r="AI36" s="10">
        <v>59.905487374719101</v>
      </c>
      <c r="AJ36" s="10">
        <v>25.383333841959637</v>
      </c>
      <c r="AK36" s="10">
        <v>26.321250200271606</v>
      </c>
      <c r="AL36" s="10">
        <v>25.748500061035156</v>
      </c>
      <c r="AM36" s="10">
        <v>1.1111504922758992</v>
      </c>
      <c r="AN36" s="10">
        <v>17.762055883407594</v>
      </c>
      <c r="AO36" s="10">
        <v>27.970801045586953</v>
      </c>
      <c r="AP36" s="10">
        <v>23.526199076483358</v>
      </c>
      <c r="AQ36" s="10">
        <v>-0.11348726556971539</v>
      </c>
      <c r="AR36" s="10">
        <v>6.3447520282753259E-2</v>
      </c>
      <c r="AS36" s="10">
        <v>0.17261595660205264</v>
      </c>
      <c r="AT36" s="10">
        <v>-87.058125560217164</v>
      </c>
      <c r="AU36" s="10">
        <v>-79.261748870408653</v>
      </c>
      <c r="AV36" s="10">
        <v>11.638371872996316</v>
      </c>
      <c r="AW36" s="10">
        <v>47.088990178764455</v>
      </c>
      <c r="AX36" s="10">
        <v>-87.99509708358292</v>
      </c>
      <c r="AY36" s="10">
        <v>-87.238568626195573</v>
      </c>
      <c r="AZ36" s="10">
        <v>25.856194003764443</v>
      </c>
      <c r="BA36" s="10">
        <v>-2.9307051749028194E-2</v>
      </c>
      <c r="BB36" s="10">
        <v>31.578029543291773</v>
      </c>
      <c r="BC36" s="10">
        <v>25.789494582544997</v>
      </c>
      <c r="BD36" s="10">
        <v>25.177675837049598</v>
      </c>
      <c r="BE36" s="10">
        <v>-2.2959791357220348E-3</v>
      </c>
      <c r="BF36" s="10">
        <v>24.770182631320644</v>
      </c>
      <c r="BG36" s="10">
        <v>23.103879683267067</v>
      </c>
      <c r="BH36" s="10">
        <v>8.0259597476504643E-2</v>
      </c>
      <c r="BI36" s="10">
        <v>79.358827939599692</v>
      </c>
      <c r="BJ36" s="10">
        <v>18.702998782573399</v>
      </c>
      <c r="BK36" s="10">
        <v>0.25545389499500631</v>
      </c>
      <c r="BL36" s="10">
        <v>1.0193119512243527</v>
      </c>
      <c r="BM36" s="10">
        <v>1.3525110032402072</v>
      </c>
      <c r="BN36" s="10">
        <v>-0.33319905201585454</v>
      </c>
      <c r="BO36" s="10">
        <v>-88.649264583057061</v>
      </c>
      <c r="BP36" s="10">
        <v>-87.662594634235163</v>
      </c>
      <c r="BQ36" s="10">
        <v>7391744.444444444</v>
      </c>
      <c r="BR36" s="10">
        <v>8178500</v>
      </c>
      <c r="BS36" s="10">
        <v>8978624.5</v>
      </c>
      <c r="BT36">
        <v>0.41925902320456609</v>
      </c>
      <c r="BU36">
        <v>0.2827291068044262</v>
      </c>
      <c r="BV36" s="10">
        <v>19.672165320231343</v>
      </c>
      <c r="BW36" s="10">
        <v>22.734427220875819</v>
      </c>
      <c r="BX36" s="10">
        <v>22.734427220875819</v>
      </c>
      <c r="BY36" s="10">
        <v>33.575971189634906</v>
      </c>
      <c r="BZ36" s="10">
        <v>-88.46295016265681</v>
      </c>
      <c r="CA36" s="10">
        <v>-84.606704407126571</v>
      </c>
      <c r="CB36" s="10">
        <v>1</v>
      </c>
      <c r="CC36" s="10">
        <v>0</v>
      </c>
      <c r="CD36" s="10">
        <v>1</v>
      </c>
      <c r="CE36" s="10">
        <v>0</v>
      </c>
      <c r="CF36" s="10">
        <v>0</v>
      </c>
      <c r="CG36" s="10">
        <v>0</v>
      </c>
      <c r="CH36" s="10">
        <v>0</v>
      </c>
      <c r="CI36" s="10">
        <v>0</v>
      </c>
      <c r="CJ36" s="10">
        <v>0</v>
      </c>
      <c r="CK36" s="10">
        <v>-1</v>
      </c>
      <c r="CL36" s="10">
        <v>0</v>
      </c>
      <c r="CM36" s="10">
        <v>-1</v>
      </c>
      <c r="CN36" s="10">
        <v>0</v>
      </c>
      <c r="CO36" s="10">
        <v>0</v>
      </c>
      <c r="CP36" s="10">
        <v>0</v>
      </c>
      <c r="CQ36" s="10">
        <v>0</v>
      </c>
      <c r="CR36" s="10">
        <v>0</v>
      </c>
      <c r="CS36" s="10">
        <v>0</v>
      </c>
      <c r="CT36" s="10">
        <v>0</v>
      </c>
      <c r="CU36" s="10">
        <v>0</v>
      </c>
      <c r="CV36" s="10">
        <v>0</v>
      </c>
      <c r="CW36" s="10">
        <v>0</v>
      </c>
      <c r="CX36" s="10" t="s">
        <v>120</v>
      </c>
      <c r="CY36" s="1" t="str">
        <f>VLOOKUP(bovespa_diario_last_date_1[[#This Row],[Stock]],Patterns!H:J,2,0)</f>
        <v>CDLBELTHOLD_Bull</v>
      </c>
      <c r="CZ36" s="5">
        <f>IF(RIGHT(bovespa_diario_last_date_1[[#This Row],[PATTERN]],4)="Bull",1,IF(RIGHT(bovespa_diario_last_date_1[[#This Row],[PATTERN]],4)="Bear",-1,0))</f>
        <v>1</v>
      </c>
    </row>
    <row r="37" spans="1:104" x14ac:dyDescent="0.25">
      <c r="A37" s="4">
        <v>44491</v>
      </c>
      <c r="B37" s="10">
        <v>14.600000381469727</v>
      </c>
      <c r="C37" s="10">
        <v>13.770000457763672</v>
      </c>
      <c r="D37" s="10">
        <v>14.050000190734863</v>
      </c>
      <c r="E37" s="10">
        <v>14.350000381469727</v>
      </c>
      <c r="F37" s="10">
        <v>36461100</v>
      </c>
      <c r="G37" s="10">
        <v>14.350000381469727</v>
      </c>
      <c r="H37" s="10">
        <v>14.159999847412109</v>
      </c>
      <c r="I37" s="10">
        <v>1.3418116956571913E-2</v>
      </c>
      <c r="J37" s="10">
        <v>1.3328891299293226E-2</v>
      </c>
      <c r="K37" s="10">
        <v>0.30000019073486328</v>
      </c>
      <c r="L37" s="10">
        <v>0.27999973297119141</v>
      </c>
      <c r="M37" s="10">
        <v>0.25</v>
      </c>
      <c r="N37" s="10">
        <v>2.1126773569749638E-2</v>
      </c>
      <c r="O37" s="10">
        <v>0.93333184984089546</v>
      </c>
      <c r="P37" s="10">
        <v>0.83333280351460548</v>
      </c>
      <c r="Q37" s="10">
        <v>0.49829888808786538</v>
      </c>
      <c r="R37" s="10">
        <v>0.64793693493943583</v>
      </c>
      <c r="S37" s="10">
        <v>-9.4359461213560356E-2</v>
      </c>
      <c r="T37" s="10">
        <v>-85.113140729390111</v>
      </c>
      <c r="U37" s="10">
        <v>-82.367630301703926</v>
      </c>
      <c r="V37" s="10">
        <v>-69.617659971544469</v>
      </c>
      <c r="W37" s="10">
        <v>-47.853416673819218</v>
      </c>
      <c r="X37" s="10">
        <v>-2.1999988555908203</v>
      </c>
      <c r="Y37" s="10">
        <v>-0.28888882531060112</v>
      </c>
      <c r="Z37" s="10">
        <v>36461100</v>
      </c>
      <c r="AA37" s="10">
        <v>474560500</v>
      </c>
      <c r="AB37" s="10">
        <v>-81.820658749921208</v>
      </c>
      <c r="AC37" s="10">
        <v>-79.299312913301293</v>
      </c>
      <c r="AD37" s="10">
        <v>17.979071349448073</v>
      </c>
      <c r="AE37" s="10">
        <v>78.745985772069332</v>
      </c>
      <c r="AF37" s="10">
        <v>-81.482988526953008</v>
      </c>
      <c r="AG37" s="10">
        <v>0.82500014986310688</v>
      </c>
      <c r="AH37" s="10">
        <v>-17.773458698554403</v>
      </c>
      <c r="AI37" s="10">
        <v>-75.000634969871228</v>
      </c>
      <c r="AJ37" s="10">
        <v>14.506666819254557</v>
      </c>
      <c r="AK37" s="10">
        <v>15.546250104904175</v>
      </c>
      <c r="AL37" s="10">
        <v>15.832000160217286</v>
      </c>
      <c r="AM37" s="10">
        <v>0.73686826917117509</v>
      </c>
      <c r="AN37" s="10">
        <v>17.003377866744994</v>
      </c>
      <c r="AO37" s="10">
        <v>17.305736698559635</v>
      </c>
      <c r="AP37" s="10">
        <v>14.358263621874935</v>
      </c>
      <c r="AQ37" s="10">
        <v>-0.20597465076772226</v>
      </c>
      <c r="AR37" s="10">
        <v>-5.7583555299960023E-4</v>
      </c>
      <c r="AS37" s="10">
        <v>0.18617187006422109</v>
      </c>
      <c r="AT37" s="10">
        <v>-66.629175955807753</v>
      </c>
      <c r="AU37" s="10">
        <v>-67.318306593160671</v>
      </c>
      <c r="AV37" s="10">
        <v>18.872027551261681</v>
      </c>
      <c r="AW37" s="10">
        <v>34.121270286701844</v>
      </c>
      <c r="AX37" s="10">
        <v>-88.073076154598581</v>
      </c>
      <c r="AY37" s="10">
        <v>-83.605540169050187</v>
      </c>
      <c r="AZ37" s="10">
        <v>15.29577208324563</v>
      </c>
      <c r="BA37" s="10">
        <v>-6.5907433911791838E-2</v>
      </c>
      <c r="BB37" s="10">
        <v>-67.851639959130836</v>
      </c>
      <c r="BC37" s="10">
        <v>15.441387195968744</v>
      </c>
      <c r="BD37" s="10">
        <v>15.665006603145441</v>
      </c>
      <c r="BE37" s="10">
        <v>-9.1638061792234715E-2</v>
      </c>
      <c r="BF37" s="10">
        <v>15.768515966399645</v>
      </c>
      <c r="BG37" s="10">
        <v>16.273880180966874</v>
      </c>
      <c r="BH37" s="10">
        <v>-0.13406827514663128</v>
      </c>
      <c r="BI37" s="10">
        <v>-36.958910415927377</v>
      </c>
      <c r="BJ37" s="10">
        <v>16.094566018000993</v>
      </c>
      <c r="BK37" s="10">
        <v>-0.12157251499338205</v>
      </c>
      <c r="BL37" s="10">
        <v>-0.32712877043090138</v>
      </c>
      <c r="BM37" s="10">
        <v>-0.16128951288879434</v>
      </c>
      <c r="BN37" s="10">
        <v>-0.16583925754210704</v>
      </c>
      <c r="BO37" s="10">
        <v>-88.4325139500136</v>
      </c>
      <c r="BP37" s="10">
        <v>-85.593591556776147</v>
      </c>
      <c r="BQ37" s="10">
        <v>25014855.555555556</v>
      </c>
      <c r="BR37" s="10">
        <v>26100125</v>
      </c>
      <c r="BS37" s="10">
        <v>22036794</v>
      </c>
      <c r="BT37">
        <v>0.45757787483615298</v>
      </c>
      <c r="BU37">
        <v>0.39697032102336682</v>
      </c>
      <c r="BV37" s="10">
        <v>16.111107284640493</v>
      </c>
      <c r="BW37" s="10">
        <v>11.097873885536467</v>
      </c>
      <c r="BX37" s="10">
        <v>11.097873885536467</v>
      </c>
      <c r="BY37" s="10">
        <v>17.745028001983496</v>
      </c>
      <c r="BZ37" s="10">
        <v>-88.620699530473729</v>
      </c>
      <c r="CA37" s="10">
        <v>-85.943796215107028</v>
      </c>
      <c r="CB37" s="10">
        <v>0</v>
      </c>
      <c r="CC37" s="10">
        <v>0</v>
      </c>
      <c r="CD37" s="10">
        <v>0</v>
      </c>
      <c r="CE37" s="10">
        <v>0</v>
      </c>
      <c r="CF37" s="10">
        <v>0</v>
      </c>
      <c r="CG37" s="10">
        <v>0</v>
      </c>
      <c r="CH37" s="10">
        <v>0</v>
      </c>
      <c r="CI37" s="10">
        <v>0</v>
      </c>
      <c r="CJ37" s="10">
        <v>0</v>
      </c>
      <c r="CK37" s="10">
        <v>0</v>
      </c>
      <c r="CL37" s="10">
        <v>0</v>
      </c>
      <c r="CM37" s="10">
        <v>0</v>
      </c>
      <c r="CN37" s="10">
        <v>0</v>
      </c>
      <c r="CO37" s="10">
        <v>0</v>
      </c>
      <c r="CP37" s="10">
        <v>0</v>
      </c>
      <c r="CQ37" s="10">
        <v>0</v>
      </c>
      <c r="CR37" s="10">
        <v>0</v>
      </c>
      <c r="CS37" s="10">
        <v>0</v>
      </c>
      <c r="CT37" s="10">
        <v>0</v>
      </c>
      <c r="CU37" s="10">
        <v>0</v>
      </c>
      <c r="CV37" s="10">
        <v>0</v>
      </c>
      <c r="CW37" s="10">
        <v>0</v>
      </c>
      <c r="CX37" s="10" t="s">
        <v>121</v>
      </c>
      <c r="CY37" s="1" t="str">
        <f>VLOOKUP(bovespa_diario_last_date_1[[#This Row],[Stock]],Patterns!H:J,2,0)</f>
        <v>CDLBELTHOLD_Bear</v>
      </c>
      <c r="CZ37" s="5">
        <f>IF(RIGHT(bovespa_diario_last_date_1[[#This Row],[PATTERN]],4)="Bull",1,IF(RIGHT(bovespa_diario_last_date_1[[#This Row],[PATTERN]],4)="Bear",-1,0))</f>
        <v>-1</v>
      </c>
    </row>
    <row r="38" spans="1:104" x14ac:dyDescent="0.25">
      <c r="A38" s="4">
        <v>44491</v>
      </c>
      <c r="B38" s="10">
        <v>25.940000534057617</v>
      </c>
      <c r="C38" s="10">
        <v>24.409999847412109</v>
      </c>
      <c r="D38" s="10">
        <v>25.350000381469727</v>
      </c>
      <c r="E38" s="10">
        <v>25.620000839233398</v>
      </c>
      <c r="F38" s="10">
        <v>6408100</v>
      </c>
      <c r="G38" s="10">
        <v>25.620000839233398</v>
      </c>
      <c r="H38" s="10">
        <v>25.540000915527344</v>
      </c>
      <c r="I38" s="10">
        <v>3.1323383256973703E-3</v>
      </c>
      <c r="J38" s="10">
        <v>3.1274427743554034E-3</v>
      </c>
      <c r="K38" s="10">
        <v>0.27000045776367188</v>
      </c>
      <c r="L38" s="10">
        <v>0.94000053405761719</v>
      </c>
      <c r="M38" s="10">
        <v>0.31999969482421875</v>
      </c>
      <c r="N38" s="10">
        <v>1.0594485042076177E-2</v>
      </c>
      <c r="O38" s="10">
        <v>3.4814775569024712</v>
      </c>
      <c r="P38" s="10">
        <v>1.1851820455219768</v>
      </c>
      <c r="Q38" s="10">
        <v>0.34036436647295787</v>
      </c>
      <c r="R38" s="10">
        <v>0.36921089555296971</v>
      </c>
      <c r="S38" s="10">
        <v>3.7785395591705573E-2</v>
      </c>
      <c r="T38" s="10">
        <v>-60.545886853509487</v>
      </c>
      <c r="U38" s="10">
        <v>-8.1543257202424968</v>
      </c>
      <c r="V38" s="10">
        <v>52.909142643803449</v>
      </c>
      <c r="W38" s="10">
        <v>-17.630603503166153</v>
      </c>
      <c r="X38" s="10">
        <v>0.27000045776367188</v>
      </c>
      <c r="Y38" s="10">
        <v>0.60888926188151038</v>
      </c>
      <c r="Z38" s="10">
        <v>6408100</v>
      </c>
      <c r="AA38" s="10">
        <v>-86015277</v>
      </c>
      <c r="AB38" s="10">
        <v>72.503823640260237</v>
      </c>
      <c r="AC38" s="10">
        <v>-20.332054313427836</v>
      </c>
      <c r="AD38" s="10">
        <v>24.079374627689827</v>
      </c>
      <c r="AE38" s="10">
        <v>-69.4760684921538</v>
      </c>
      <c r="AF38" s="10">
        <v>-81.205486196839331</v>
      </c>
      <c r="AG38" s="10">
        <v>0.95071452004568913</v>
      </c>
      <c r="AH38" s="10">
        <v>65.131182361443592</v>
      </c>
      <c r="AI38" s="10">
        <v>22.635987246626875</v>
      </c>
      <c r="AJ38" s="10">
        <v>25.806667327880859</v>
      </c>
      <c r="AK38" s="10">
        <v>26.003750324249268</v>
      </c>
      <c r="AL38" s="10">
        <v>25.777000045776369</v>
      </c>
      <c r="AM38" s="10">
        <v>0.78562150797315533</v>
      </c>
      <c r="AN38" s="10">
        <v>32.458129625320431</v>
      </c>
      <c r="AO38" s="10">
        <v>27.34824306172268</v>
      </c>
      <c r="AP38" s="10">
        <v>24.205757029830057</v>
      </c>
      <c r="AQ38" s="10">
        <v>-6.7456759011604875E-2</v>
      </c>
      <c r="AR38" s="10">
        <v>5.5200771392545304E-2</v>
      </c>
      <c r="AS38" s="10">
        <v>0.12191046383644355</v>
      </c>
      <c r="AT38" s="10">
        <v>-77.576451711392139</v>
      </c>
      <c r="AU38" s="10">
        <v>-74.383423141918868</v>
      </c>
      <c r="AV38" s="10">
        <v>41.591323422044162</v>
      </c>
      <c r="AW38" s="10">
        <v>44.960547851453185</v>
      </c>
      <c r="AX38" s="10">
        <v>-81.722139164693587</v>
      </c>
      <c r="AY38" s="10">
        <v>85.171846784818356</v>
      </c>
      <c r="AZ38" s="10">
        <v>25.804889756501584</v>
      </c>
      <c r="BA38" s="10">
        <v>-7.2165851370720735E-3</v>
      </c>
      <c r="BB38" s="10">
        <v>35.948119133977066</v>
      </c>
      <c r="BC38" s="10">
        <v>25.849881133171642</v>
      </c>
      <c r="BD38" s="10">
        <v>26.155124012493037</v>
      </c>
      <c r="BE38" s="10">
        <v>-2.0886930356386755E-2</v>
      </c>
      <c r="BF38" s="10">
        <v>26.375674853053905</v>
      </c>
      <c r="BG38" s="10">
        <v>27.488882688901384</v>
      </c>
      <c r="BH38" s="10">
        <v>-7.2946205638137931E-2</v>
      </c>
      <c r="BI38" s="10">
        <v>-56.463413090468698</v>
      </c>
      <c r="BJ38" s="10">
        <v>32.06421159783136</v>
      </c>
      <c r="BK38" s="10">
        <v>-0.25153046633509729</v>
      </c>
      <c r="BL38" s="10">
        <v>-0.52579371988226242</v>
      </c>
      <c r="BM38" s="10">
        <v>-0.67442146674748815</v>
      </c>
      <c r="BN38" s="10">
        <v>0.14862774686522573</v>
      </c>
      <c r="BO38" s="10">
        <v>-60.319002813178507</v>
      </c>
      <c r="BP38" s="10">
        <v>79.020892504721388</v>
      </c>
      <c r="BQ38" s="10">
        <v>3596766.6666666665</v>
      </c>
      <c r="BR38" s="10">
        <v>4107560</v>
      </c>
      <c r="BS38" s="10">
        <v>3336510.9350000001</v>
      </c>
      <c r="BT38">
        <v>0.78162794361602561</v>
      </c>
      <c r="BU38">
        <v>0.56007459416295813</v>
      </c>
      <c r="BV38" s="10">
        <v>57.976682863039834</v>
      </c>
      <c r="BW38" s="10">
        <v>65.239965831020882</v>
      </c>
      <c r="BX38" s="10">
        <v>65.239965831020882</v>
      </c>
      <c r="BY38" s="10">
        <v>65.829102287887309</v>
      </c>
      <c r="BZ38" s="10">
        <v>82.514574235446247</v>
      </c>
      <c r="CA38" s="10">
        <v>86.94236839860254</v>
      </c>
      <c r="CB38" s="10">
        <v>1</v>
      </c>
      <c r="CC38" s="10">
        <v>0</v>
      </c>
      <c r="CD38" s="10">
        <v>1</v>
      </c>
      <c r="CE38" s="10">
        <v>0</v>
      </c>
      <c r="CF38" s="10">
        <v>0</v>
      </c>
      <c r="CG38" s="10">
        <v>0</v>
      </c>
      <c r="CH38" s="10">
        <v>0</v>
      </c>
      <c r="CI38" s="10">
        <v>0</v>
      </c>
      <c r="CJ38" s="10">
        <v>0</v>
      </c>
      <c r="CK38" s="10">
        <v>-1</v>
      </c>
      <c r="CL38" s="10">
        <v>0</v>
      </c>
      <c r="CM38" s="10">
        <v>-1</v>
      </c>
      <c r="CN38" s="10">
        <v>0</v>
      </c>
      <c r="CO38" s="10">
        <v>0</v>
      </c>
      <c r="CP38" s="10">
        <v>0</v>
      </c>
      <c r="CQ38" s="10">
        <v>0</v>
      </c>
      <c r="CR38" s="10">
        <v>0</v>
      </c>
      <c r="CS38" s="10">
        <v>0</v>
      </c>
      <c r="CT38" s="10">
        <v>0</v>
      </c>
      <c r="CU38" s="10">
        <v>0</v>
      </c>
      <c r="CV38" s="10">
        <v>0</v>
      </c>
      <c r="CW38" s="10">
        <v>0</v>
      </c>
      <c r="CX38" s="10" t="s">
        <v>122</v>
      </c>
      <c r="CY38" s="1" t="str">
        <f>VLOOKUP(bovespa_diario_last_date_1[[#This Row],[Stock]],Patterns!H:J,2,0)</f>
        <v>CDLBELTHOLD_Bear</v>
      </c>
      <c r="CZ38" s="5">
        <f>IF(RIGHT(bovespa_diario_last_date_1[[#This Row],[PATTERN]],4)="Bull",1,IF(RIGHT(bovespa_diario_last_date_1[[#This Row],[PATTERN]],4)="Bear",-1,0))</f>
        <v>-1</v>
      </c>
    </row>
    <row r="39" spans="1:104" x14ac:dyDescent="0.25">
      <c r="A39" s="4">
        <v>44491</v>
      </c>
      <c r="B39" s="10">
        <v>7.5799999237060547</v>
      </c>
      <c r="C39" s="10">
        <v>6.880000114440918</v>
      </c>
      <c r="D39" s="10">
        <v>7.5799999237060547</v>
      </c>
      <c r="E39" s="10">
        <v>7.179999828338623</v>
      </c>
      <c r="F39" s="10">
        <v>66616100</v>
      </c>
      <c r="G39" s="10">
        <v>7.179999828338623</v>
      </c>
      <c r="H39" s="10">
        <v>7.6399998664855957</v>
      </c>
      <c r="I39" s="10">
        <v>-6.0209430129031238E-2</v>
      </c>
      <c r="J39" s="10">
        <v>-6.2098226550858816E-2</v>
      </c>
      <c r="K39" s="10">
        <v>0.40000009536743164</v>
      </c>
      <c r="L39" s="10">
        <v>0.29999971389770508</v>
      </c>
      <c r="M39" s="10">
        <v>0</v>
      </c>
      <c r="N39" s="10">
        <v>5.4200555838359046E-2</v>
      </c>
      <c r="O39" s="10">
        <v>0.74999910593054153</v>
      </c>
      <c r="P39" s="10">
        <v>0</v>
      </c>
      <c r="Q39" s="10">
        <v>0.38207925218095395</v>
      </c>
      <c r="R39" s="10">
        <v>0.46306570840565187</v>
      </c>
      <c r="S39" s="10">
        <v>-9.4296758783942308E-2</v>
      </c>
      <c r="T39" s="10">
        <v>-85.323356686701146</v>
      </c>
      <c r="U39" s="10">
        <v>-79.198854078480593</v>
      </c>
      <c r="V39" s="10">
        <v>-42.283097827604472</v>
      </c>
      <c r="W39" s="10">
        <v>-41.966360717670334</v>
      </c>
      <c r="X39" s="10">
        <v>-1.2300000190734863</v>
      </c>
      <c r="Y39" s="10">
        <v>3.1111240386962891E-2</v>
      </c>
      <c r="Z39" s="10">
        <v>-66616100</v>
      </c>
      <c r="AA39" s="10">
        <v>-632704900</v>
      </c>
      <c r="AB39" s="10">
        <v>-87.443437918414872</v>
      </c>
      <c r="AC39" s="10">
        <v>-75.182701692665702</v>
      </c>
      <c r="AD39" s="10">
        <v>29.705637832721404</v>
      </c>
      <c r="AE39" s="10">
        <v>-81.117488793113154</v>
      </c>
      <c r="AF39" s="10">
        <v>-86.531276702175717</v>
      </c>
      <c r="AG39" s="10">
        <v>0.37071425574166433</v>
      </c>
      <c r="AH39" s="10">
        <v>76.794500894774586</v>
      </c>
      <c r="AI39" s="10">
        <v>69.920851525245169</v>
      </c>
      <c r="AJ39" s="10">
        <v>7.6299997965494795</v>
      </c>
      <c r="AK39" s="10">
        <v>8.1399999856948853</v>
      </c>
      <c r="AL39" s="10">
        <v>8.1864999532699585</v>
      </c>
      <c r="AM39" s="10">
        <v>0.35690594993676128</v>
      </c>
      <c r="AN39" s="10">
        <v>9.6614500164985664</v>
      </c>
      <c r="AO39" s="10">
        <v>8.9003118531434815</v>
      </c>
      <c r="AP39" s="10">
        <v>7.4726880533964355</v>
      </c>
      <c r="AQ39" s="10">
        <v>-0.23959778077082777</v>
      </c>
      <c r="AR39" s="10">
        <v>-4.0764377723604688E-2</v>
      </c>
      <c r="AS39" s="10">
        <v>0.17438756585795934</v>
      </c>
      <c r="AT39" s="10">
        <v>79.162570393586208</v>
      </c>
      <c r="AU39" s="10">
        <v>38.255433173895248</v>
      </c>
      <c r="AV39" s="10">
        <v>5.8090731917313434</v>
      </c>
      <c r="AW39" s="10">
        <v>24.621150247728295</v>
      </c>
      <c r="AX39" s="10">
        <v>-88.951749913287941</v>
      </c>
      <c r="AY39" s="10">
        <v>72.737637525880118</v>
      </c>
      <c r="AZ39" s="10">
        <v>7.9629358300952955</v>
      </c>
      <c r="BA39" s="10">
        <v>-0.10904401399377689</v>
      </c>
      <c r="BB39" s="10">
        <v>-44.315812011692572</v>
      </c>
      <c r="BC39" s="10">
        <v>8.0426015400013409</v>
      </c>
      <c r="BD39" s="10">
        <v>8.2072226537600539</v>
      </c>
      <c r="BE39" s="10">
        <v>-0.14306724930091252</v>
      </c>
      <c r="BF39" s="10">
        <v>8.2910077719101078</v>
      </c>
      <c r="BG39" s="10">
        <v>8.6763370770579655</v>
      </c>
      <c r="BH39" s="10">
        <v>-0.20840352151729497</v>
      </c>
      <c r="BI39" s="10">
        <v>-48.56986684090333</v>
      </c>
      <c r="BJ39" s="10">
        <v>9.664754720425405</v>
      </c>
      <c r="BK39" s="10">
        <v>-0.34606614923300466</v>
      </c>
      <c r="BL39" s="10">
        <v>-0.24840623190876698</v>
      </c>
      <c r="BM39" s="10">
        <v>-0.19035113497412476</v>
      </c>
      <c r="BN39" s="10">
        <v>-5.8055096934642225E-2</v>
      </c>
      <c r="BO39" s="10">
        <v>-86.087336972846458</v>
      </c>
      <c r="BP39" s="10">
        <v>43.894407505238618</v>
      </c>
      <c r="BQ39" s="10">
        <v>23666622.222222224</v>
      </c>
      <c r="BR39" s="10">
        <v>19735965</v>
      </c>
      <c r="BS39" s="10">
        <v>16315611</v>
      </c>
      <c r="BT39">
        <v>1.8147700746855859</v>
      </c>
      <c r="BU39">
        <v>2.3753657345865782</v>
      </c>
      <c r="BV39" s="10">
        <v>16.129019853349472</v>
      </c>
      <c r="BW39" s="10">
        <v>19.634781340555545</v>
      </c>
      <c r="BX39" s="10">
        <v>19.634781340555545</v>
      </c>
      <c r="BY39" s="10">
        <v>34.463371005602056</v>
      </c>
      <c r="BZ39" s="10">
        <v>-88.921762958981233</v>
      </c>
      <c r="CA39" s="10">
        <v>87.482479582886825</v>
      </c>
      <c r="CB39" s="10">
        <v>0</v>
      </c>
      <c r="CC39" s="10">
        <v>0</v>
      </c>
      <c r="CD39" s="10">
        <v>0</v>
      </c>
      <c r="CE39" s="10">
        <v>0</v>
      </c>
      <c r="CF39" s="10">
        <v>0</v>
      </c>
      <c r="CG39" s="10">
        <v>0</v>
      </c>
      <c r="CH39" s="10">
        <v>0</v>
      </c>
      <c r="CI39" s="10">
        <v>0</v>
      </c>
      <c r="CJ39" s="10">
        <v>0</v>
      </c>
      <c r="CK39" s="10">
        <v>0</v>
      </c>
      <c r="CL39" s="10">
        <v>0</v>
      </c>
      <c r="CM39" s="10">
        <v>0</v>
      </c>
      <c r="CN39" s="10">
        <v>0</v>
      </c>
      <c r="CO39" s="10">
        <v>0</v>
      </c>
      <c r="CP39" s="10">
        <v>0</v>
      </c>
      <c r="CQ39" s="10">
        <v>0</v>
      </c>
      <c r="CR39" s="10">
        <v>0</v>
      </c>
      <c r="CS39" s="10">
        <v>0</v>
      </c>
      <c r="CT39" s="10">
        <v>0</v>
      </c>
      <c r="CU39" s="10">
        <v>0</v>
      </c>
      <c r="CV39" s="10">
        <v>0</v>
      </c>
      <c r="CW39" s="10">
        <v>0</v>
      </c>
      <c r="CX39" s="10" t="s">
        <v>123</v>
      </c>
      <c r="CY39" s="1" t="str">
        <f>VLOOKUP(bovespa_diario_last_date_1[[#This Row],[Stock]],Patterns!H:J,2,0)</f>
        <v>CDLSHOOTINGSTAR_Bear</v>
      </c>
      <c r="CZ39" s="5">
        <f>IF(RIGHT(bovespa_diario_last_date_1[[#This Row],[PATTERN]],4)="Bull",1,IF(RIGHT(bovespa_diario_last_date_1[[#This Row],[PATTERN]],4)="Bear",-1,0))</f>
        <v>-1</v>
      </c>
    </row>
    <row r="40" spans="1:104" x14ac:dyDescent="0.25">
      <c r="A40" s="4">
        <v>44491</v>
      </c>
      <c r="B40" s="10">
        <v>25.809999465942383</v>
      </c>
      <c r="C40" s="10">
        <v>24.520000457763672</v>
      </c>
      <c r="D40" s="10">
        <v>24.959999084472656</v>
      </c>
      <c r="E40" s="10">
        <v>25.090000152587891</v>
      </c>
      <c r="F40" s="10">
        <v>14957900</v>
      </c>
      <c r="G40" s="10">
        <v>25.090000152587891</v>
      </c>
      <c r="H40" s="10">
        <v>25.069999694824219</v>
      </c>
      <c r="I40" s="10">
        <v>7.9778452361933816E-4</v>
      </c>
      <c r="J40" s="10">
        <v>7.9746646269775396E-4</v>
      </c>
      <c r="K40" s="10">
        <v>0.13000106811523438</v>
      </c>
      <c r="L40" s="10">
        <v>0.43999862670898438</v>
      </c>
      <c r="M40" s="10">
        <v>0.71999931335449219</v>
      </c>
      <c r="N40" s="10">
        <v>5.1948479559205439E-3</v>
      </c>
      <c r="O40" s="10">
        <v>3.3845770122362744</v>
      </c>
      <c r="P40" s="10">
        <v>5.5384107514891872</v>
      </c>
      <c r="Q40" s="10">
        <v>0.51213400794316988</v>
      </c>
      <c r="R40" s="10">
        <v>0.47425802687358032</v>
      </c>
      <c r="S40" s="10">
        <v>-9.062510865103339E-2</v>
      </c>
      <c r="T40" s="10">
        <v>-73.16310587932351</v>
      </c>
      <c r="U40" s="10">
        <v>-75.990087375628676</v>
      </c>
      <c r="V40" s="10">
        <v>-67.250890354056153</v>
      </c>
      <c r="W40" s="10">
        <v>-62.937629851161994</v>
      </c>
      <c r="X40" s="10">
        <v>-3.2299995422363281</v>
      </c>
      <c r="Y40" s="10">
        <v>-1.6122218237982855</v>
      </c>
      <c r="Z40" s="10">
        <v>14957900</v>
      </c>
      <c r="AA40" s="10">
        <v>380552200</v>
      </c>
      <c r="AB40" s="10">
        <v>-76.483672876486835</v>
      </c>
      <c r="AC40" s="10">
        <v>-73.714301675776014</v>
      </c>
      <c r="AD40" s="10">
        <v>33.629356198936343</v>
      </c>
      <c r="AE40" s="10">
        <v>75.511940445168051</v>
      </c>
      <c r="AF40" s="10">
        <v>-75.805870890032466</v>
      </c>
      <c r="AG40" s="10">
        <v>1.1950002397809709</v>
      </c>
      <c r="AH40" s="10">
        <v>-68.108454329858645</v>
      </c>
      <c r="AI40" s="10">
        <v>-81.422812464685066</v>
      </c>
      <c r="AJ40" s="10">
        <v>25.260000228881836</v>
      </c>
      <c r="AK40" s="10">
        <v>26.255000114440918</v>
      </c>
      <c r="AL40" s="10">
        <v>27.491499996185304</v>
      </c>
      <c r="AM40" s="10">
        <v>1.3436957362137349</v>
      </c>
      <c r="AN40" s="10">
        <v>38.100972080230711</v>
      </c>
      <c r="AO40" s="10">
        <v>30.178891468612775</v>
      </c>
      <c r="AP40" s="10">
        <v>24.804108523757833</v>
      </c>
      <c r="AQ40" s="10">
        <v>-0.20282547967621253</v>
      </c>
      <c r="AR40" s="10">
        <v>1.1394644363944717E-2</v>
      </c>
      <c r="AS40" s="10">
        <v>0.19550708202901779</v>
      </c>
      <c r="AT40" s="10">
        <v>81.445617951002873</v>
      </c>
      <c r="AU40" s="10">
        <v>-79.442729647459245</v>
      </c>
      <c r="AV40" s="10">
        <v>10.874187612792994</v>
      </c>
      <c r="AW40" s="10">
        <v>25.774330173803151</v>
      </c>
      <c r="AX40" s="10">
        <v>-83.786104528756354</v>
      </c>
      <c r="AY40" s="10">
        <v>-76.199419283453366</v>
      </c>
      <c r="AZ40" s="10">
        <v>26.230605349269744</v>
      </c>
      <c r="BA40" s="10">
        <v>-4.5460549611204638E-2</v>
      </c>
      <c r="BB40" s="10">
        <v>-70.254756579488983</v>
      </c>
      <c r="BC40" s="10">
        <v>26.618608089133271</v>
      </c>
      <c r="BD40" s="10">
        <v>27.807446082187585</v>
      </c>
      <c r="BE40" s="10">
        <v>-0.10830792798219276</v>
      </c>
      <c r="BF40" s="10">
        <v>28.508355058395519</v>
      </c>
      <c r="BG40" s="10">
        <v>31.609522611573816</v>
      </c>
      <c r="BH40" s="10">
        <v>-0.25984545314215446</v>
      </c>
      <c r="BI40" s="10">
        <v>-72.216717950622026</v>
      </c>
      <c r="BJ40" s="10">
        <v>34.381147837031136</v>
      </c>
      <c r="BK40" s="10">
        <v>-0.37031277911271421</v>
      </c>
      <c r="BL40" s="10">
        <v>-1.8897469692622479</v>
      </c>
      <c r="BM40" s="10">
        <v>-1.9269552123520179</v>
      </c>
      <c r="BN40" s="10">
        <v>3.7208243089769999E-2</v>
      </c>
      <c r="BO40" s="10">
        <v>-84.514868772734218</v>
      </c>
      <c r="BP40" s="10">
        <v>-60.066701560383734</v>
      </c>
      <c r="BQ40" s="10">
        <v>12426277.777777778</v>
      </c>
      <c r="BR40" s="10">
        <v>13157940</v>
      </c>
      <c r="BS40" s="10">
        <v>13548771.5</v>
      </c>
      <c r="BT40">
        <v>0.20373133994715498</v>
      </c>
      <c r="BU40">
        <v>0.13679648942007638</v>
      </c>
      <c r="BV40" s="10">
        <v>18.843285706558717</v>
      </c>
      <c r="BW40" s="10">
        <v>15.426324952686755</v>
      </c>
      <c r="BX40" s="10">
        <v>15.426324952686755</v>
      </c>
      <c r="BY40" s="10">
        <v>10.970836535288923</v>
      </c>
      <c r="BZ40" s="10">
        <v>-81.03892298800389</v>
      </c>
      <c r="CA40" s="10">
        <v>-57.506533015080194</v>
      </c>
      <c r="CB40" s="10">
        <v>0</v>
      </c>
      <c r="CC40" s="10">
        <v>0</v>
      </c>
      <c r="CD40" s="10">
        <v>0</v>
      </c>
      <c r="CE40" s="10">
        <v>0</v>
      </c>
      <c r="CF40" s="10">
        <v>0</v>
      </c>
      <c r="CG40" s="10">
        <v>0</v>
      </c>
      <c r="CH40" s="10">
        <v>0</v>
      </c>
      <c r="CI40" s="10">
        <v>0</v>
      </c>
      <c r="CJ40" s="10">
        <v>0</v>
      </c>
      <c r="CK40" s="10">
        <v>0</v>
      </c>
      <c r="CL40" s="10">
        <v>0</v>
      </c>
      <c r="CM40" s="10">
        <v>0</v>
      </c>
      <c r="CN40" s="10">
        <v>0</v>
      </c>
      <c r="CO40" s="10">
        <v>0</v>
      </c>
      <c r="CP40" s="10">
        <v>0</v>
      </c>
      <c r="CQ40" s="10">
        <v>0</v>
      </c>
      <c r="CR40" s="10">
        <v>0</v>
      </c>
      <c r="CS40" s="10">
        <v>0</v>
      </c>
      <c r="CT40" s="10">
        <v>0</v>
      </c>
      <c r="CU40" s="10">
        <v>0</v>
      </c>
      <c r="CV40" s="10">
        <v>0</v>
      </c>
      <c r="CW40" s="10">
        <v>0</v>
      </c>
      <c r="CX40" s="10" t="s">
        <v>124</v>
      </c>
      <c r="CY40" s="1" t="str">
        <f>VLOOKUP(bovespa_diario_last_date_1[[#This Row],[Stock]],Patterns!H:J,2,0)</f>
        <v>CDLLONGLINE_Bear</v>
      </c>
      <c r="CZ40" s="5">
        <f>IF(RIGHT(bovespa_diario_last_date_1[[#This Row],[PATTERN]],4)="Bull",1,IF(RIGHT(bovespa_diario_last_date_1[[#This Row],[PATTERN]],4)="Bear",-1,0))</f>
        <v>-1</v>
      </c>
    </row>
    <row r="41" spans="1:104" x14ac:dyDescent="0.25">
      <c r="A41" s="4">
        <v>44491</v>
      </c>
      <c r="B41" s="10">
        <v>28.700000762939453</v>
      </c>
      <c r="C41" s="10">
        <v>27.540000915527344</v>
      </c>
      <c r="D41" s="10">
        <v>27.979999542236328</v>
      </c>
      <c r="E41" s="10">
        <v>27.959999084472656</v>
      </c>
      <c r="F41" s="10">
        <v>10602300</v>
      </c>
      <c r="G41" s="10">
        <v>27.959999084472656</v>
      </c>
      <c r="H41" s="10">
        <v>28.549999237060547</v>
      </c>
      <c r="I41" s="10">
        <v>-2.0665505021170594E-2</v>
      </c>
      <c r="J41" s="10">
        <v>-2.0882024757669405E-2</v>
      </c>
      <c r="K41" s="10">
        <v>2.0000457763671875E-2</v>
      </c>
      <c r="L41" s="10">
        <v>0.4199981689453125</v>
      </c>
      <c r="M41" s="10">
        <v>0.720001220703125</v>
      </c>
      <c r="N41" s="10">
        <v>7.1506822505077795E-4</v>
      </c>
      <c r="O41" s="10">
        <v>20.999427808506582</v>
      </c>
      <c r="P41" s="10">
        <v>35.999237078008775</v>
      </c>
      <c r="Q41" s="10">
        <v>0.3264377663108351</v>
      </c>
      <c r="R41" s="10">
        <v>0.29687917648923828</v>
      </c>
      <c r="S41" s="10">
        <v>-4.4420678840979617E-2</v>
      </c>
      <c r="T41" s="10">
        <v>-86.847314675133902</v>
      </c>
      <c r="U41" s="10">
        <v>-79.049399008833745</v>
      </c>
      <c r="V41" s="10">
        <v>-73.129434219583544</v>
      </c>
      <c r="W41" s="10">
        <v>-81.18389048850031</v>
      </c>
      <c r="X41" s="10">
        <v>-1.4100017547607422</v>
      </c>
      <c r="Y41" s="10">
        <v>-1.5077779557969835</v>
      </c>
      <c r="Z41" s="10">
        <v>-10602300</v>
      </c>
      <c r="AA41" s="10">
        <v>42255900</v>
      </c>
      <c r="AB41" s="10">
        <v>-84.775540630632108</v>
      </c>
      <c r="AC41" s="10">
        <v>37.270669009306822</v>
      </c>
      <c r="AD41" s="10">
        <v>41.022044001331139</v>
      </c>
      <c r="AE41" s="10">
        <v>-36.739850889576267</v>
      </c>
      <c r="AF41" s="10">
        <v>83.54636875056633</v>
      </c>
      <c r="AG41" s="10">
        <v>1.0064287185668945</v>
      </c>
      <c r="AH41" s="10">
        <v>73.045850834319424</v>
      </c>
      <c r="AI41" s="10">
        <v>33.235302141872083</v>
      </c>
      <c r="AJ41" s="10">
        <v>28.606665929158527</v>
      </c>
      <c r="AK41" s="10">
        <v>29.296249628067017</v>
      </c>
      <c r="AL41" s="10">
        <v>30.280520343780516</v>
      </c>
      <c r="AM41" s="10">
        <v>1.3693725400512695</v>
      </c>
      <c r="AN41" s="10">
        <v>33.385220165252683</v>
      </c>
      <c r="AO41" s="10">
        <v>33.019265423883056</v>
      </c>
      <c r="AP41" s="10">
        <v>27.541775263677977</v>
      </c>
      <c r="AQ41" s="10">
        <v>-0.18094658458769475</v>
      </c>
      <c r="AR41" s="10">
        <v>1.4957933994602187E-2</v>
      </c>
      <c r="AS41" s="10">
        <v>0.18089154671115587</v>
      </c>
      <c r="AT41" s="10">
        <v>51.233427138325702</v>
      </c>
      <c r="AU41" s="10">
        <v>56.901134459741215</v>
      </c>
      <c r="AV41" s="10">
        <v>13.944136346947801</v>
      </c>
      <c r="AW41" s="10">
        <v>24.873822559633311</v>
      </c>
      <c r="AX41" s="10">
        <v>-87.928582307279953</v>
      </c>
      <c r="AY41" s="10">
        <v>83.744143880217962</v>
      </c>
      <c r="AZ41" s="10">
        <v>29.231790203152748</v>
      </c>
      <c r="BA41" s="10">
        <v>-4.5486093001568445E-2</v>
      </c>
      <c r="BB41" s="10">
        <v>-79.156245339386587</v>
      </c>
      <c r="BC41" s="10">
        <v>29.511884810941467</v>
      </c>
      <c r="BD41" s="10">
        <v>30.294491144447942</v>
      </c>
      <c r="BE41" s="10">
        <v>-8.3493996295290515E-2</v>
      </c>
      <c r="BF41" s="10">
        <v>30.673450979621883</v>
      </c>
      <c r="BG41" s="10">
        <v>31.930336538174533</v>
      </c>
      <c r="BH41" s="10">
        <v>-0.14200062888795906</v>
      </c>
      <c r="BI41" s="10">
        <v>-83.649793394377383</v>
      </c>
      <c r="BJ41" s="10">
        <v>32.986482062998348</v>
      </c>
      <c r="BK41" s="10">
        <v>-0.17977407521866143</v>
      </c>
      <c r="BL41" s="10">
        <v>-1.161566168680416</v>
      </c>
      <c r="BM41" s="10">
        <v>-1.0930758152685109</v>
      </c>
      <c r="BN41" s="10">
        <v>-6.8490353411905014E-2</v>
      </c>
      <c r="BO41" s="10">
        <v>-78.97448333508423</v>
      </c>
      <c r="BP41" s="10">
        <v>79.805943923588543</v>
      </c>
      <c r="BQ41" s="10">
        <v>3874200</v>
      </c>
      <c r="BR41" s="10">
        <v>3754085</v>
      </c>
      <c r="BS41" s="10">
        <v>3128805</v>
      </c>
      <c r="BT41">
        <v>1.7366424035929997</v>
      </c>
      <c r="BU41">
        <v>1.8242035009862589</v>
      </c>
      <c r="BV41" s="10">
        <v>9.480774736878363</v>
      </c>
      <c r="BW41" s="10">
        <v>10.491917571437069</v>
      </c>
      <c r="BX41" s="10">
        <v>10.491917571437069</v>
      </c>
      <c r="BY41" s="10">
        <v>13.338973191657999</v>
      </c>
      <c r="BZ41" s="10">
        <v>-66.263342591810868</v>
      </c>
      <c r="CA41" s="10">
        <v>62.968460086130406</v>
      </c>
      <c r="CB41" s="10">
        <v>0</v>
      </c>
      <c r="CC41" s="10">
        <v>0</v>
      </c>
      <c r="CD41" s="10">
        <v>0</v>
      </c>
      <c r="CE41" s="10">
        <v>0</v>
      </c>
      <c r="CF41" s="10">
        <v>0</v>
      </c>
      <c r="CG41" s="10">
        <v>0</v>
      </c>
      <c r="CH41" s="10">
        <v>0</v>
      </c>
      <c r="CI41" s="10">
        <v>0</v>
      </c>
      <c r="CJ41" s="10">
        <v>0</v>
      </c>
      <c r="CK41" s="10">
        <v>0</v>
      </c>
      <c r="CL41" s="10">
        <v>0</v>
      </c>
      <c r="CM41" s="10">
        <v>0</v>
      </c>
      <c r="CN41" s="10">
        <v>0</v>
      </c>
      <c r="CO41" s="10">
        <v>0</v>
      </c>
      <c r="CP41" s="10">
        <v>0</v>
      </c>
      <c r="CQ41" s="10">
        <v>0</v>
      </c>
      <c r="CR41" s="10">
        <v>0</v>
      </c>
      <c r="CS41" s="10">
        <v>0</v>
      </c>
      <c r="CT41" s="10">
        <v>0</v>
      </c>
      <c r="CU41" s="10">
        <v>0</v>
      </c>
      <c r="CV41" s="10">
        <v>0</v>
      </c>
      <c r="CW41" s="10">
        <v>0</v>
      </c>
      <c r="CX41" s="10" t="s">
        <v>125</v>
      </c>
      <c r="CY41" s="1" t="str">
        <f>VLOOKUP(bovespa_diario_last_date_1[[#This Row],[Stock]],Patterns!H:J,2,0)</f>
        <v>NO_PATTERN</v>
      </c>
      <c r="CZ41" s="5">
        <f>IF(RIGHT(bovespa_diario_last_date_1[[#This Row],[PATTERN]],4)="Bull",1,IF(RIGHT(bovespa_diario_last_date_1[[#This Row],[PATTERN]],4)="Bear",-1,0))</f>
        <v>0</v>
      </c>
    </row>
    <row r="42" spans="1:104" x14ac:dyDescent="0.25">
      <c r="A42" s="4">
        <v>44491</v>
      </c>
      <c r="B42" s="10">
        <v>24.5</v>
      </c>
      <c r="C42" s="10">
        <v>22.200000762939453</v>
      </c>
      <c r="D42" s="10">
        <v>22.299999237060547</v>
      </c>
      <c r="E42" s="10">
        <v>24.200000762939453</v>
      </c>
      <c r="F42" s="10">
        <v>15085300</v>
      </c>
      <c r="G42" s="10">
        <v>24.200000762939453</v>
      </c>
      <c r="H42" s="10">
        <v>22.5</v>
      </c>
      <c r="I42" s="10">
        <v>7.555558946397567E-2</v>
      </c>
      <c r="J42" s="10">
        <v>7.2837355478689428E-2</v>
      </c>
      <c r="K42" s="10">
        <v>1.9000015258789063</v>
      </c>
      <c r="L42" s="10">
        <v>9.999847412109375E-2</v>
      </c>
      <c r="M42" s="10">
        <v>0.29999923706054688</v>
      </c>
      <c r="N42" s="10">
        <v>8.1720495736727156E-2</v>
      </c>
      <c r="O42" s="10">
        <v>5.2630733585772395E-2</v>
      </c>
      <c r="P42" s="10">
        <v>0.15789420849110775</v>
      </c>
      <c r="Q42" s="10">
        <v>0.29807266799813481</v>
      </c>
      <c r="R42" s="10">
        <v>0.3660106641501234</v>
      </c>
      <c r="S42" s="10">
        <v>7.1504879767969001E-2</v>
      </c>
      <c r="T42" s="10">
        <v>80.759597253420466</v>
      </c>
      <c r="U42" s="10">
        <v>46.579682647232495</v>
      </c>
      <c r="V42" s="10">
        <v>-10.191072859120286</v>
      </c>
      <c r="W42" s="10">
        <v>-50.680195704360912</v>
      </c>
      <c r="X42" s="10">
        <v>1.8000011444091797</v>
      </c>
      <c r="Y42" s="10">
        <v>-0.37888844807942706</v>
      </c>
      <c r="Z42" s="10">
        <v>15085300</v>
      </c>
      <c r="AA42" s="10">
        <v>31467200</v>
      </c>
      <c r="AB42" s="10">
        <v>64.008162329208218</v>
      </c>
      <c r="AC42" s="10">
        <v>-68.799802709700714</v>
      </c>
      <c r="AD42" s="10">
        <v>12.862738383776662</v>
      </c>
      <c r="AE42" s="10">
        <v>76.786992860994701</v>
      </c>
      <c r="AF42" s="10">
        <v>-62.76668193176171</v>
      </c>
      <c r="AG42" s="10">
        <v>0.80857140677315853</v>
      </c>
      <c r="AH42" s="10">
        <v>67.264328460330688</v>
      </c>
      <c r="AI42" s="10">
        <v>-38.998638679064548</v>
      </c>
      <c r="AJ42" s="10">
        <v>23.090000152587891</v>
      </c>
      <c r="AK42" s="10">
        <v>22.96750020980835</v>
      </c>
      <c r="AL42" s="10">
        <v>23.193999958038329</v>
      </c>
      <c r="AM42" s="10">
        <v>0.58651859317442001</v>
      </c>
      <c r="AN42" s="10">
        <v>26.791950006484985</v>
      </c>
      <c r="AO42" s="10">
        <v>24.367037144387169</v>
      </c>
      <c r="AP42" s="10">
        <v>22.02096277168949</v>
      </c>
      <c r="AQ42" s="10">
        <v>-6.902329594283307E-3</v>
      </c>
      <c r="AR42" s="10">
        <v>9.0042889361681422E-2</v>
      </c>
      <c r="AS42" s="10">
        <v>0.10115005505484626</v>
      </c>
      <c r="AT42" s="10">
        <v>65.701084054675704</v>
      </c>
      <c r="AU42" s="10">
        <v>-77.226604981245217</v>
      </c>
      <c r="AV42" s="10">
        <v>85.572601921579917</v>
      </c>
      <c r="AW42" s="10">
        <v>61.735005084598626</v>
      </c>
      <c r="AX42" s="10">
        <v>87.796023465872779</v>
      </c>
      <c r="AY42" s="10">
        <v>79.810645482778369</v>
      </c>
      <c r="AZ42" s="10">
        <v>23.059817838623765</v>
      </c>
      <c r="BA42" s="10">
        <v>4.7114995387181793E-2</v>
      </c>
      <c r="BB42" s="10">
        <v>-35.727358022940024</v>
      </c>
      <c r="BC42" s="10">
        <v>23.081698886343627</v>
      </c>
      <c r="BD42" s="10">
        <v>23.296302565831429</v>
      </c>
      <c r="BE42" s="10">
        <v>3.7342899529655089E-2</v>
      </c>
      <c r="BF42" s="10">
        <v>23.439436827871347</v>
      </c>
      <c r="BG42" s="10">
        <v>24.048909886112462</v>
      </c>
      <c r="BH42" s="10">
        <v>6.2434244654395272E-3</v>
      </c>
      <c r="BI42" s="10">
        <v>-66.856940192900666</v>
      </c>
      <c r="BJ42" s="10">
        <v>25.322455197497511</v>
      </c>
      <c r="BK42" s="10">
        <v>-4.6382413188887826E-2</v>
      </c>
      <c r="BL42" s="10">
        <v>-0.35773794152771998</v>
      </c>
      <c r="BM42" s="10">
        <v>-0.47803271117558099</v>
      </c>
      <c r="BN42" s="10">
        <v>0.12029476964786101</v>
      </c>
      <c r="BO42" s="10">
        <v>78.801028996070883</v>
      </c>
      <c r="BP42" s="10">
        <v>62.457117075806188</v>
      </c>
      <c r="BQ42" s="10">
        <v>6580744.444444444</v>
      </c>
      <c r="BR42" s="10">
        <v>7196365</v>
      </c>
      <c r="BS42" s="10">
        <v>6675554</v>
      </c>
      <c r="BT42">
        <v>1.2923394347481798</v>
      </c>
      <c r="BU42">
        <v>1.0962388650381132</v>
      </c>
      <c r="BV42" s="10">
        <v>88.281277357606342</v>
      </c>
      <c r="BW42" s="10">
        <v>42.633626981275007</v>
      </c>
      <c r="BX42" s="10">
        <v>42.633626981275007</v>
      </c>
      <c r="BY42" s="10">
        <v>25.645819929767168</v>
      </c>
      <c r="BZ42" s="10">
        <v>-84.229536785584529</v>
      </c>
      <c r="CA42" s="10">
        <v>-70.986763937655198</v>
      </c>
      <c r="CB42" s="10">
        <v>0</v>
      </c>
      <c r="CC42" s="10">
        <v>1</v>
      </c>
      <c r="CD42" s="10">
        <v>1</v>
      </c>
      <c r="CE42" s="10">
        <v>0</v>
      </c>
      <c r="CF42" s="10">
        <v>1</v>
      </c>
      <c r="CG42" s="10">
        <v>1</v>
      </c>
      <c r="CH42" s="10">
        <v>0</v>
      </c>
      <c r="CI42" s="10">
        <v>0</v>
      </c>
      <c r="CJ42" s="10">
        <v>0</v>
      </c>
      <c r="CK42" s="10">
        <v>0</v>
      </c>
      <c r="CL42" s="10">
        <v>1</v>
      </c>
      <c r="CM42" s="10">
        <v>1</v>
      </c>
      <c r="CN42" s="10">
        <v>0</v>
      </c>
      <c r="CO42" s="10">
        <v>0</v>
      </c>
      <c r="CP42" s="10">
        <v>0</v>
      </c>
      <c r="CQ42" s="10">
        <v>0</v>
      </c>
      <c r="CR42" s="10">
        <v>0</v>
      </c>
      <c r="CS42" s="10">
        <v>0</v>
      </c>
      <c r="CT42" s="10">
        <v>0</v>
      </c>
      <c r="CU42" s="10">
        <v>0</v>
      </c>
      <c r="CV42" s="10">
        <v>0</v>
      </c>
      <c r="CW42" s="10">
        <v>0</v>
      </c>
      <c r="CX42" s="10" t="s">
        <v>126</v>
      </c>
      <c r="CY42" s="1" t="str">
        <f>VLOOKUP(bovespa_diario_last_date_1[[#This Row],[Stock]],Patterns!H:J,2,0)</f>
        <v>CDLHIKKAKE_Bull</v>
      </c>
      <c r="CZ42" s="5">
        <f>IF(RIGHT(bovespa_diario_last_date_1[[#This Row],[PATTERN]],4)="Bull",1,IF(RIGHT(bovespa_diario_last_date_1[[#This Row],[PATTERN]],4)="Bear",-1,0))</f>
        <v>1</v>
      </c>
    </row>
    <row r="43" spans="1:104" x14ac:dyDescent="0.25">
      <c r="A43" s="4">
        <v>44491</v>
      </c>
      <c r="B43" s="10">
        <v>26.860000610351563</v>
      </c>
      <c r="C43" s="10">
        <v>24.149999618530273</v>
      </c>
      <c r="D43" s="10">
        <v>26.120000839233398</v>
      </c>
      <c r="E43" s="10">
        <v>26.479999542236328</v>
      </c>
      <c r="F43" s="10">
        <v>39738900</v>
      </c>
      <c r="G43" s="10">
        <v>26.479999542236328</v>
      </c>
      <c r="H43" s="10">
        <v>26.290000915527344</v>
      </c>
      <c r="I43" s="10">
        <v>7.2270300529646558E-3</v>
      </c>
      <c r="J43" s="10">
        <v>7.2010402157036014E-3</v>
      </c>
      <c r="K43" s="10">
        <v>0.35999870300292969</v>
      </c>
      <c r="L43" s="10">
        <v>1.970001220703125</v>
      </c>
      <c r="M43" s="10">
        <v>0.38000106811523438</v>
      </c>
      <c r="N43" s="10">
        <v>1.3688163513008353E-2</v>
      </c>
      <c r="O43" s="10">
        <v>5.4722453283035666</v>
      </c>
      <c r="P43" s="10">
        <v>1.0555623254902169</v>
      </c>
      <c r="Q43" s="10">
        <v>0.59402536556030383</v>
      </c>
      <c r="R43" s="10">
        <v>0.53228991613727761</v>
      </c>
      <c r="S43" s="10">
        <v>-8.2738801990553858E-3</v>
      </c>
      <c r="T43" s="10">
        <v>-72.369706389997134</v>
      </c>
      <c r="U43" s="10">
        <v>-71.956057618773812</v>
      </c>
      <c r="V43" s="10">
        <v>28.055691093033651</v>
      </c>
      <c r="W43" s="10">
        <v>76.488165548771804</v>
      </c>
      <c r="X43" s="10">
        <v>-0.54000091552734375</v>
      </c>
      <c r="Y43" s="10">
        <v>1.7566666073269315</v>
      </c>
      <c r="Z43" s="10">
        <v>39738900</v>
      </c>
      <c r="AA43" s="10">
        <v>1177058000</v>
      </c>
      <c r="AB43" s="10">
        <v>-26.747594627246901</v>
      </c>
      <c r="AC43" s="10">
        <v>46.214689949505839</v>
      </c>
      <c r="AD43" s="10">
        <v>31.228627474170249</v>
      </c>
      <c r="AE43" s="10">
        <v>-81.974378696940207</v>
      </c>
      <c r="AF43" s="10">
        <v>80.068438991244221</v>
      </c>
      <c r="AG43" s="10">
        <v>1.5</v>
      </c>
      <c r="AH43" s="10">
        <v>-68.884367804797435</v>
      </c>
      <c r="AI43" s="10">
        <v>-79.046688439249422</v>
      </c>
      <c r="AJ43" s="10">
        <v>26.543333689371746</v>
      </c>
      <c r="AK43" s="10">
        <v>27.050000190734863</v>
      </c>
      <c r="AL43" s="10">
        <v>25.883500289916991</v>
      </c>
      <c r="AM43" s="10">
        <v>1.8934354069694179</v>
      </c>
      <c r="AN43" s="10">
        <v>18.955950026512145</v>
      </c>
      <c r="AO43" s="10">
        <v>29.670371103855828</v>
      </c>
      <c r="AP43" s="10">
        <v>22.096629475978155</v>
      </c>
      <c r="AQ43" s="10">
        <v>-0.12048231181162861</v>
      </c>
      <c r="AR43" s="10">
        <v>0.1655351262097485</v>
      </c>
      <c r="AS43" s="10">
        <v>0.29260886445207918</v>
      </c>
      <c r="AT43" s="10">
        <v>-85.027322690751276</v>
      </c>
      <c r="AU43" s="10">
        <v>-68.405053589395877</v>
      </c>
      <c r="AV43" s="10">
        <v>35.592578772640778</v>
      </c>
      <c r="AW43" s="10">
        <v>57.84823330843907</v>
      </c>
      <c r="AX43" s="10">
        <v>-85.381320500817822</v>
      </c>
      <c r="AY43" s="10">
        <v>-84.286138461998021</v>
      </c>
      <c r="AZ43" s="10">
        <v>26.67298441814161</v>
      </c>
      <c r="BA43" s="10">
        <v>-7.2879486118368501E-3</v>
      </c>
      <c r="BB43" s="10">
        <v>61.034440515318259</v>
      </c>
      <c r="BC43" s="10">
        <v>26.450585855113694</v>
      </c>
      <c r="BD43" s="10">
        <v>25.445996002353002</v>
      </c>
      <c r="BE43" s="10">
        <v>3.904847272501126E-2</v>
      </c>
      <c r="BF43" s="10">
        <v>24.889292387554384</v>
      </c>
      <c r="BG43" s="10">
        <v>22.979757669192793</v>
      </c>
      <c r="BH43" s="10">
        <v>0.13218436304957457</v>
      </c>
      <c r="BI43" s="10">
        <v>79.210227243522453</v>
      </c>
      <c r="BJ43" s="10">
        <v>18.522758758038478</v>
      </c>
      <c r="BK43" s="10">
        <v>0.30050003480951093</v>
      </c>
      <c r="BL43" s="10">
        <v>1.5612934675593095</v>
      </c>
      <c r="BM43" s="10">
        <v>1.8076151178004387</v>
      </c>
      <c r="BN43" s="10">
        <v>-0.24632165024112918</v>
      </c>
      <c r="BO43" s="10">
        <v>-88.364301331537419</v>
      </c>
      <c r="BP43" s="10">
        <v>-87.722486207344431</v>
      </c>
      <c r="BQ43" s="10">
        <v>27460100</v>
      </c>
      <c r="BR43" s="10">
        <v>29274605</v>
      </c>
      <c r="BS43" s="10">
        <v>22814651</v>
      </c>
      <c r="BT43">
        <v>0.44715059304226856</v>
      </c>
      <c r="BU43">
        <v>0.35745298698308647</v>
      </c>
      <c r="BV43" s="10">
        <v>48.846953880554402</v>
      </c>
      <c r="BW43" s="10">
        <v>47.824566145375314</v>
      </c>
      <c r="BX43" s="10">
        <v>47.824566145375314</v>
      </c>
      <c r="BY43" s="10">
        <v>57.318309653732484</v>
      </c>
      <c r="BZ43" s="10">
        <v>-88.294922997490715</v>
      </c>
      <c r="CA43" s="10">
        <v>-84.353905546872326</v>
      </c>
      <c r="CB43" s="10">
        <v>1</v>
      </c>
      <c r="CC43" s="10">
        <v>0</v>
      </c>
      <c r="CD43" s="10">
        <v>1</v>
      </c>
      <c r="CE43" s="10">
        <v>0</v>
      </c>
      <c r="CF43" s="10">
        <v>0</v>
      </c>
      <c r="CG43" s="10">
        <v>0</v>
      </c>
      <c r="CH43" s="10">
        <v>0</v>
      </c>
      <c r="CI43" s="10">
        <v>0</v>
      </c>
      <c r="CJ43" s="10">
        <v>0</v>
      </c>
      <c r="CK43" s="10">
        <v>-1</v>
      </c>
      <c r="CL43" s="10">
        <v>0</v>
      </c>
      <c r="CM43" s="10">
        <v>-1</v>
      </c>
      <c r="CN43" s="10">
        <v>0</v>
      </c>
      <c r="CO43" s="10">
        <v>0</v>
      </c>
      <c r="CP43" s="10">
        <v>0</v>
      </c>
      <c r="CQ43" s="10">
        <v>0</v>
      </c>
      <c r="CR43" s="10">
        <v>0</v>
      </c>
      <c r="CS43" s="10">
        <v>0</v>
      </c>
      <c r="CT43" s="10">
        <v>0</v>
      </c>
      <c r="CU43" s="10">
        <v>0</v>
      </c>
      <c r="CV43" s="10">
        <v>0</v>
      </c>
      <c r="CW43" s="10">
        <v>0</v>
      </c>
      <c r="CX43" s="10" t="s">
        <v>127</v>
      </c>
      <c r="CY43" s="1" t="str">
        <f>VLOOKUP(bovespa_diario_last_date_1[[#This Row],[Stock]],Patterns!H:J,2,0)</f>
        <v>NO_PATTERN</v>
      </c>
      <c r="CZ43" s="5">
        <f>IF(RIGHT(bovespa_diario_last_date_1[[#This Row],[PATTERN]],4)="Bull",1,IF(RIGHT(bovespa_diario_last_date_1[[#This Row],[PATTERN]],4)="Bear",-1,0))</f>
        <v>0</v>
      </c>
    </row>
    <row r="44" spans="1:104" x14ac:dyDescent="0.25">
      <c r="A44" s="4">
        <v>44491</v>
      </c>
      <c r="B44" s="10">
        <v>27.409999847412109</v>
      </c>
      <c r="C44" s="10">
        <v>25.899999618530273</v>
      </c>
      <c r="D44" s="10">
        <v>27.049999237060547</v>
      </c>
      <c r="E44" s="10">
        <v>26.309999465942383</v>
      </c>
      <c r="F44" s="10">
        <v>5651800</v>
      </c>
      <c r="G44" s="10">
        <v>26.309999465942383</v>
      </c>
      <c r="H44" s="10">
        <v>27.559999465942383</v>
      </c>
      <c r="I44" s="10">
        <v>-4.5355588687318482E-2</v>
      </c>
      <c r="J44" s="10">
        <v>-4.6416352013913906E-2</v>
      </c>
      <c r="K44" s="10">
        <v>0.73999977111816406</v>
      </c>
      <c r="L44" s="10">
        <v>0.40999984741210938</v>
      </c>
      <c r="M44" s="10">
        <v>0.3600006103515625</v>
      </c>
      <c r="N44" s="10">
        <v>2.7736124029422785E-2</v>
      </c>
      <c r="O44" s="10">
        <v>0.55405401922298714</v>
      </c>
      <c r="P44" s="10">
        <v>0.48648746175635932</v>
      </c>
      <c r="Q44" s="10">
        <v>0.88338017339619457</v>
      </c>
      <c r="R44" s="10">
        <v>0.72380719138500549</v>
      </c>
      <c r="S44" s="10">
        <v>5.1073249885345527E-2</v>
      </c>
      <c r="T44" s="10">
        <v>-74.407026239459285</v>
      </c>
      <c r="U44" s="10">
        <v>8.0831341845383129</v>
      </c>
      <c r="V44" s="10">
        <v>61.351263733507338</v>
      </c>
      <c r="W44" s="10">
        <v>41.247204182000722</v>
      </c>
      <c r="X44" s="10">
        <v>1.7099990844726563</v>
      </c>
      <c r="Y44" s="10">
        <v>2.9811106787787542</v>
      </c>
      <c r="Z44" s="10">
        <v>-5651800</v>
      </c>
      <c r="AA44" s="10">
        <v>36086367</v>
      </c>
      <c r="AB44" s="10">
        <v>-75.805184020693929</v>
      </c>
      <c r="AC44" s="10">
        <v>59.530085561468134</v>
      </c>
      <c r="AD44" s="10">
        <v>23.386777046699528</v>
      </c>
      <c r="AE44" s="10">
        <v>-83.031867193321872</v>
      </c>
      <c r="AF44" s="10">
        <v>-77.420459106623895</v>
      </c>
      <c r="AG44" s="10">
        <v>1.7999999182564872</v>
      </c>
      <c r="AH44" s="10">
        <v>41.870402765976067</v>
      </c>
      <c r="AI44" s="10">
        <v>73.782704786960792</v>
      </c>
      <c r="AJ44" s="10">
        <v>27.566666285196941</v>
      </c>
      <c r="AK44" s="10">
        <v>28.344999551773071</v>
      </c>
      <c r="AL44" s="10">
        <v>26.638499736785889</v>
      </c>
      <c r="AM44" s="10">
        <v>1.815993812350313</v>
      </c>
      <c r="AN44" s="10">
        <v>28.05852186203003</v>
      </c>
      <c r="AO44" s="10">
        <v>30.270487361486516</v>
      </c>
      <c r="AP44" s="10">
        <v>23.006512112085261</v>
      </c>
      <c r="AQ44" s="10">
        <v>-0.15053166005080629</v>
      </c>
      <c r="AR44" s="10">
        <v>0.12556014522666187</v>
      </c>
      <c r="AS44" s="10">
        <v>0.27268710029379839</v>
      </c>
      <c r="AT44" s="10">
        <v>26.753875918184256</v>
      </c>
      <c r="AU44" s="10">
        <v>39.858345250969307</v>
      </c>
      <c r="AV44" s="10">
        <v>19.195231694270177</v>
      </c>
      <c r="AW44" s="10">
        <v>44.762650710075683</v>
      </c>
      <c r="AX44" s="10">
        <v>-87.189935261671948</v>
      </c>
      <c r="AY44" s="10">
        <v>83.261738328762775</v>
      </c>
      <c r="AZ44" s="10">
        <v>27.581219301316121</v>
      </c>
      <c r="BA44" s="10">
        <v>-4.8316984461337593E-2</v>
      </c>
      <c r="BB44" s="10">
        <v>60.701548060571227</v>
      </c>
      <c r="BC44" s="10">
        <v>27.436563454822554</v>
      </c>
      <c r="BD44" s="10">
        <v>27.230104187486539</v>
      </c>
      <c r="BE44" s="10">
        <v>-3.497167389665698E-2</v>
      </c>
      <c r="BF44" s="10">
        <v>27.276607411299729</v>
      </c>
      <c r="BG44" s="10">
        <v>28.185303623742893</v>
      </c>
      <c r="BH44" s="10">
        <v>-7.1277240435829101E-2</v>
      </c>
      <c r="BI44" s="10">
        <v>-10.422554830555349</v>
      </c>
      <c r="BJ44" s="10">
        <v>28.62936536564489</v>
      </c>
      <c r="BK44" s="10">
        <v>-8.8155300143767282E-2</v>
      </c>
      <c r="BL44" s="10">
        <v>0.15995604352282555</v>
      </c>
      <c r="BM44" s="10">
        <v>-8.2446108687600994E-2</v>
      </c>
      <c r="BN44" s="10">
        <v>0.24240215221042655</v>
      </c>
      <c r="BO44" s="10">
        <v>-79.239595362067519</v>
      </c>
      <c r="BP44" s="10">
        <v>69.831958831559263</v>
      </c>
      <c r="BQ44" s="10">
        <v>7699877.777777778</v>
      </c>
      <c r="BR44" s="10">
        <v>5629105</v>
      </c>
      <c r="BS44" s="10">
        <v>7631333.4299999997</v>
      </c>
      <c r="BT44">
        <v>-0.26598834902141311</v>
      </c>
      <c r="BU44">
        <v>4.0317244037906264E-3</v>
      </c>
      <c r="BV44" s="10">
        <v>28.615686602137334</v>
      </c>
      <c r="BW44" s="10">
        <v>41.597781433091335</v>
      </c>
      <c r="BX44" s="10">
        <v>41.597781433091335</v>
      </c>
      <c r="BY44" s="10">
        <v>48.966927293851569</v>
      </c>
      <c r="BZ44" s="10">
        <v>-87.53800598269045</v>
      </c>
      <c r="CA44" s="10">
        <v>85.54711269207516</v>
      </c>
      <c r="CB44" s="10">
        <v>1</v>
      </c>
      <c r="CC44" s="10">
        <v>0</v>
      </c>
      <c r="CD44" s="10">
        <v>1</v>
      </c>
      <c r="CE44" s="10">
        <v>0</v>
      </c>
      <c r="CF44" s="10">
        <v>0</v>
      </c>
      <c r="CG44" s="10">
        <v>0</v>
      </c>
      <c r="CH44" s="10">
        <v>0</v>
      </c>
      <c r="CI44" s="10">
        <v>0</v>
      </c>
      <c r="CJ44" s="10">
        <v>0</v>
      </c>
      <c r="CK44" s="10">
        <v>-1</v>
      </c>
      <c r="CL44" s="10">
        <v>0</v>
      </c>
      <c r="CM44" s="10">
        <v>-1</v>
      </c>
      <c r="CN44" s="10">
        <v>0</v>
      </c>
      <c r="CO44" s="10">
        <v>0</v>
      </c>
      <c r="CP44" s="10">
        <v>0</v>
      </c>
      <c r="CQ44" s="10">
        <v>0</v>
      </c>
      <c r="CR44" s="10">
        <v>0</v>
      </c>
      <c r="CS44" s="10">
        <v>0</v>
      </c>
      <c r="CT44" s="10">
        <v>0</v>
      </c>
      <c r="CU44" s="10">
        <v>0</v>
      </c>
      <c r="CV44" s="10">
        <v>0</v>
      </c>
      <c r="CW44" s="10">
        <v>0</v>
      </c>
      <c r="CX44" s="10" t="s">
        <v>128</v>
      </c>
      <c r="CY44" s="1" t="str">
        <f>VLOOKUP(bovespa_diario_last_date_1[[#This Row],[Stock]],Patterns!H:J,2,0)</f>
        <v>CDLSPINNINGTOP_Bear</v>
      </c>
      <c r="CZ44" s="5">
        <f>IF(RIGHT(bovespa_diario_last_date_1[[#This Row],[PATTERN]],4)="Bull",1,IF(RIGHT(bovespa_diario_last_date_1[[#This Row],[PATTERN]],4)="Bear",-1,0))</f>
        <v>-1</v>
      </c>
    </row>
    <row r="45" spans="1:104" x14ac:dyDescent="0.25">
      <c r="A45" s="4">
        <v>44491</v>
      </c>
      <c r="B45" s="10">
        <v>21.180000305175781</v>
      </c>
      <c r="C45" s="10">
        <v>19.530000686645508</v>
      </c>
      <c r="D45" s="10">
        <v>20.719999313354492</v>
      </c>
      <c r="E45" s="10">
        <v>20.920000076293945</v>
      </c>
      <c r="F45" s="10">
        <v>19968100</v>
      </c>
      <c r="G45" s="10">
        <v>20.920000076293945</v>
      </c>
      <c r="H45" s="10">
        <v>21.290000915527344</v>
      </c>
      <c r="I45" s="10">
        <v>-1.7379089869533404E-2</v>
      </c>
      <c r="J45" s="10">
        <v>-1.7531879064420365E-2</v>
      </c>
      <c r="K45" s="10">
        <v>0.20000076293945313</v>
      </c>
      <c r="L45" s="10">
        <v>1.1899986267089844</v>
      </c>
      <c r="M45" s="10">
        <v>0.26000022888183594</v>
      </c>
      <c r="N45" s="10">
        <v>9.6061847200301659E-3</v>
      </c>
      <c r="O45" s="10">
        <v>5.949970436208968</v>
      </c>
      <c r="P45" s="10">
        <v>1.2999961853172863</v>
      </c>
      <c r="Q45" s="10">
        <v>0.37069163532735899</v>
      </c>
      <c r="R45" s="10">
        <v>0.30132879477097685</v>
      </c>
      <c r="S45" s="10">
        <v>-0.10301553145343118</v>
      </c>
      <c r="T45" s="10">
        <v>-86.528768077274606</v>
      </c>
      <c r="U45" s="10">
        <v>-82.993280136435729</v>
      </c>
      <c r="V45" s="10">
        <v>-75.32224730537267</v>
      </c>
      <c r="W45" s="10">
        <v>-65.931867609693839</v>
      </c>
      <c r="X45" s="10">
        <v>-2.4500007629394531</v>
      </c>
      <c r="Y45" s="10">
        <v>-0.58000034756130647</v>
      </c>
      <c r="Z45" s="10">
        <v>-19968100</v>
      </c>
      <c r="AA45" s="10">
        <v>121452600</v>
      </c>
      <c r="AB45" s="10">
        <v>-86.995823115168804</v>
      </c>
      <c r="AC45" s="10">
        <v>-77.854522142652286</v>
      </c>
      <c r="AD45" s="10">
        <v>21.774700923344348</v>
      </c>
      <c r="AE45" s="10">
        <v>87.070662325194647</v>
      </c>
      <c r="AF45" s="10">
        <v>59.409746462026845</v>
      </c>
      <c r="AG45" s="10">
        <v>0.88000011444091797</v>
      </c>
      <c r="AH45" s="10">
        <v>85.321826982235478</v>
      </c>
      <c r="AI45" s="10">
        <v>66.477972784202009</v>
      </c>
      <c r="AJ45" s="10">
        <v>21.456666946411133</v>
      </c>
      <c r="AK45" s="10">
        <v>22.556250095367432</v>
      </c>
      <c r="AL45" s="10">
        <v>22.953500175476073</v>
      </c>
      <c r="AM45" s="10">
        <v>0.7458395391842787</v>
      </c>
      <c r="AN45" s="10">
        <v>22.77029170036316</v>
      </c>
      <c r="AO45" s="10">
        <v>24.445179253844628</v>
      </c>
      <c r="AP45" s="10">
        <v>21.461821097107517</v>
      </c>
      <c r="AQ45" s="10">
        <v>-0.16850760825499869</v>
      </c>
      <c r="AR45" s="10">
        <v>-2.5899666292427539E-2</v>
      </c>
      <c r="AS45" s="10">
        <v>0.12997399672946544</v>
      </c>
      <c r="AT45" s="10">
        <v>85.278556084069081</v>
      </c>
      <c r="AU45" s="10">
        <v>-8.82898082078969</v>
      </c>
      <c r="AV45" s="10">
        <v>3.8525017321932893</v>
      </c>
      <c r="AW45" s="10">
        <v>24.680245591643683</v>
      </c>
      <c r="AX45" s="10">
        <v>-88.738680004281122</v>
      </c>
      <c r="AY45" s="10">
        <v>-85.189478629811617</v>
      </c>
      <c r="AZ45" s="10">
        <v>22.266687216187051</v>
      </c>
      <c r="BA45" s="10">
        <v>-6.4373190008691281E-2</v>
      </c>
      <c r="BB45" s="10">
        <v>-73.143258810599619</v>
      </c>
      <c r="BC45" s="10">
        <v>22.453810202135504</v>
      </c>
      <c r="BD45" s="10">
        <v>22.726052384601747</v>
      </c>
      <c r="BE45" s="10">
        <v>-8.6331371975202714E-2</v>
      </c>
      <c r="BF45" s="10">
        <v>22.811687952021899</v>
      </c>
      <c r="BG45" s="10">
        <v>23.108056501041553</v>
      </c>
      <c r="BH45" s="10">
        <v>-0.10459160692007174</v>
      </c>
      <c r="BI45" s="10">
        <v>-34.62292394514278</v>
      </c>
      <c r="BJ45" s="10">
        <v>22.513029097507932</v>
      </c>
      <c r="BK45" s="10">
        <v>-7.6148614503074016E-2</v>
      </c>
      <c r="BL45" s="10">
        <v>-0.35787774988639498</v>
      </c>
      <c r="BM45" s="10">
        <v>-0.11535405520104289</v>
      </c>
      <c r="BN45" s="10">
        <v>-0.24252369468535209</v>
      </c>
      <c r="BO45" s="10">
        <v>-87.945391692711354</v>
      </c>
      <c r="BP45" s="10">
        <v>-81.674583252522226</v>
      </c>
      <c r="BQ45" s="10">
        <v>9231033.333333334</v>
      </c>
      <c r="BR45" s="10">
        <v>8418130</v>
      </c>
      <c r="BS45" s="10">
        <v>10349704</v>
      </c>
      <c r="BT45">
        <v>1.1631489432385682</v>
      </c>
      <c r="BU45">
        <v>1.3720351194386402</v>
      </c>
      <c r="BV45" s="10">
        <v>31.735151963023558</v>
      </c>
      <c r="BW45" s="10">
        <v>19.571458383536562</v>
      </c>
      <c r="BX45" s="10">
        <v>19.571458383536562</v>
      </c>
      <c r="BY45" s="10">
        <v>21.281739024079343</v>
      </c>
      <c r="BZ45" s="10">
        <v>-88.841089364075742</v>
      </c>
      <c r="CA45" s="10">
        <v>-76.190387950200119</v>
      </c>
      <c r="CB45" s="10">
        <v>0</v>
      </c>
      <c r="CC45" s="10">
        <v>0</v>
      </c>
      <c r="CD45" s="10">
        <v>0</v>
      </c>
      <c r="CE45" s="10">
        <v>0</v>
      </c>
      <c r="CF45" s="10">
        <v>0</v>
      </c>
      <c r="CG45" s="10">
        <v>0</v>
      </c>
      <c r="CH45" s="10">
        <v>0</v>
      </c>
      <c r="CI45" s="10">
        <v>0</v>
      </c>
      <c r="CJ45" s="10">
        <v>0</v>
      </c>
      <c r="CK45" s="10">
        <v>0</v>
      </c>
      <c r="CL45" s="10">
        <v>0</v>
      </c>
      <c r="CM45" s="10">
        <v>0</v>
      </c>
      <c r="CN45" s="10">
        <v>0</v>
      </c>
      <c r="CO45" s="10">
        <v>0</v>
      </c>
      <c r="CP45" s="10">
        <v>0</v>
      </c>
      <c r="CQ45" s="10">
        <v>0</v>
      </c>
      <c r="CR45" s="10">
        <v>0</v>
      </c>
      <c r="CS45" s="10">
        <v>0</v>
      </c>
      <c r="CT45" s="10">
        <v>0</v>
      </c>
      <c r="CU45" s="10">
        <v>0</v>
      </c>
      <c r="CV45" s="10">
        <v>0</v>
      </c>
      <c r="CW45" s="10">
        <v>0</v>
      </c>
      <c r="CX45" s="10" t="s">
        <v>129</v>
      </c>
      <c r="CY45" s="1" t="str">
        <f>VLOOKUP(bovespa_diario_last_date_1[[#This Row],[Stock]],Patterns!H:J,2,0)</f>
        <v>CDL3INSIDE_Bull</v>
      </c>
      <c r="CZ45" s="5">
        <f>IF(RIGHT(bovespa_diario_last_date_1[[#This Row],[PATTERN]],4)="Bull",1,IF(RIGHT(bovespa_diario_last_date_1[[#This Row],[PATTERN]],4)="Bear",-1,0))</f>
        <v>1</v>
      </c>
    </row>
    <row r="46" spans="1:104" x14ac:dyDescent="0.25">
      <c r="A46" s="4">
        <v>44491</v>
      </c>
      <c r="B46" s="10">
        <v>17.389999389648438</v>
      </c>
      <c r="C46" s="10">
        <v>15.920000076293945</v>
      </c>
      <c r="D46" s="10">
        <v>17.340000152587891</v>
      </c>
      <c r="E46" s="10">
        <v>17.100000381469727</v>
      </c>
      <c r="F46" s="10">
        <v>15608900</v>
      </c>
      <c r="G46" s="10">
        <v>17.100000381469727</v>
      </c>
      <c r="H46" s="10">
        <v>17.649999618530273</v>
      </c>
      <c r="I46" s="10">
        <v>-3.1161430535279866E-2</v>
      </c>
      <c r="J46" s="10">
        <v>-3.1657275949504841E-2</v>
      </c>
      <c r="K46" s="10">
        <v>0.23999977111816406</v>
      </c>
      <c r="L46" s="10">
        <v>1.1800003051757813</v>
      </c>
      <c r="M46" s="10">
        <v>4.9999237060546875E-2</v>
      </c>
      <c r="N46" s="10">
        <v>1.3937268722213229E-2</v>
      </c>
      <c r="O46" s="10">
        <v>4.9166726271368288</v>
      </c>
      <c r="P46" s="10">
        <v>0.2083303530982524</v>
      </c>
      <c r="Q46" s="10">
        <v>0.56783640449183381</v>
      </c>
      <c r="R46" s="10">
        <v>0.6523949943830083</v>
      </c>
      <c r="S46" s="10">
        <v>-0.14761302768769138</v>
      </c>
      <c r="T46" s="10">
        <v>-82.900976875634569</v>
      </c>
      <c r="U46" s="10">
        <v>-76.328581789727167</v>
      </c>
      <c r="V46" s="10">
        <v>-70.636456333823872</v>
      </c>
      <c r="W46" s="10">
        <v>-73.642468439628885</v>
      </c>
      <c r="X46" s="10">
        <v>-3.1999988555908203</v>
      </c>
      <c r="Y46" s="10">
        <v>-2.2477775149875217</v>
      </c>
      <c r="Z46" s="10">
        <v>-15608900</v>
      </c>
      <c r="AA46" s="10">
        <v>102851268</v>
      </c>
      <c r="AB46" s="10">
        <v>-85.893021590201172</v>
      </c>
      <c r="AC46" s="10">
        <v>-75.710373235995561</v>
      </c>
      <c r="AD46" s="10">
        <v>20.146053762476157</v>
      </c>
      <c r="AE46" s="10">
        <v>83.988451790917765</v>
      </c>
      <c r="AF46" s="10">
        <v>60.743654257402298</v>
      </c>
      <c r="AG46" s="10">
        <v>1.2164288929530553</v>
      </c>
      <c r="AH46" s="10">
        <v>1.0177774980683254E-13</v>
      </c>
      <c r="AI46" s="10">
        <v>-63.750438862139298</v>
      </c>
      <c r="AJ46" s="10">
        <v>17.780000050862629</v>
      </c>
      <c r="AK46" s="10">
        <v>19.066249847412109</v>
      </c>
      <c r="AL46" s="10">
        <v>20.590499877929688</v>
      </c>
      <c r="AM46" s="10">
        <v>1.8618594561687711</v>
      </c>
      <c r="AN46" s="10">
        <v>21.6651789188385</v>
      </c>
      <c r="AO46" s="10">
        <v>24.31421879026723</v>
      </c>
      <c r="AP46" s="10">
        <v>16.866780965592145</v>
      </c>
      <c r="AQ46" s="10">
        <v>-0.42188410806207532</v>
      </c>
      <c r="AR46" s="10">
        <v>1.3638562027770924E-2</v>
      </c>
      <c r="AS46" s="10">
        <v>0.36169291026575612</v>
      </c>
      <c r="AT46" s="10">
        <v>81.615805837770296</v>
      </c>
      <c r="AU46" s="10">
        <v>70.180533747059826</v>
      </c>
      <c r="AV46" s="10">
        <v>5.3876224860566708</v>
      </c>
      <c r="AW46" s="10">
        <v>27.225784993697317</v>
      </c>
      <c r="AX46" s="10">
        <v>-87.257438992768513</v>
      </c>
      <c r="AY46" s="10">
        <v>-80.015190919037465</v>
      </c>
      <c r="AZ46" s="10">
        <v>18.895526471152017</v>
      </c>
      <c r="BA46" s="10">
        <v>-0.10500152337002271</v>
      </c>
      <c r="BB46" s="10">
        <v>-70.549175425508608</v>
      </c>
      <c r="BC46" s="10">
        <v>19.265889791248927</v>
      </c>
      <c r="BD46" s="10">
        <v>19.953373679308974</v>
      </c>
      <c r="BE46" s="10">
        <v>-0.16686393182372569</v>
      </c>
      <c r="BF46" s="10">
        <v>20.187197843036358</v>
      </c>
      <c r="BG46" s="10">
        <v>20.932271060808969</v>
      </c>
      <c r="BH46" s="10">
        <v>-0.22410939145311659</v>
      </c>
      <c r="BI46" s="10">
        <v>-48.506548704773593</v>
      </c>
      <c r="BJ46" s="10">
        <v>21.700985992031725</v>
      </c>
      <c r="BK46" s="10">
        <v>-0.26906347999546354</v>
      </c>
      <c r="BL46" s="10">
        <v>-0.92130805178743103</v>
      </c>
      <c r="BM46" s="10">
        <v>-0.54151788300397685</v>
      </c>
      <c r="BN46" s="10">
        <v>-0.37979016878345417</v>
      </c>
      <c r="BO46" s="10">
        <v>-83.541201360800287</v>
      </c>
      <c r="BP46" s="10">
        <v>-72.111316401455028</v>
      </c>
      <c r="BQ46" s="10">
        <v>8022400</v>
      </c>
      <c r="BR46" s="10">
        <v>8346495</v>
      </c>
      <c r="BS46" s="10">
        <v>6880789.8150000004</v>
      </c>
      <c r="BT46">
        <v>0.94566463901076991</v>
      </c>
      <c r="BU46">
        <v>0.87011434140917832</v>
      </c>
      <c r="BV46" s="10">
        <v>16.857147216796875</v>
      </c>
      <c r="BW46" s="10">
        <v>9.5529158645150627</v>
      </c>
      <c r="BX46" s="10">
        <v>9.5529158645150627</v>
      </c>
      <c r="BY46" s="10">
        <v>7.7504872766090971</v>
      </c>
      <c r="BZ46" s="10">
        <v>-84.902577167980027</v>
      </c>
      <c r="CA46" s="10">
        <v>-86.2515762654957</v>
      </c>
      <c r="CB46" s="10">
        <v>0</v>
      </c>
      <c r="CC46" s="10">
        <v>0</v>
      </c>
      <c r="CD46" s="10">
        <v>0</v>
      </c>
      <c r="CE46" s="10">
        <v>0</v>
      </c>
      <c r="CF46" s="10">
        <v>0</v>
      </c>
      <c r="CG46" s="10">
        <v>0</v>
      </c>
      <c r="CH46" s="10">
        <v>0</v>
      </c>
      <c r="CI46" s="10">
        <v>0</v>
      </c>
      <c r="CJ46" s="10">
        <v>0</v>
      </c>
      <c r="CK46" s="10">
        <v>0</v>
      </c>
      <c r="CL46" s="10">
        <v>0</v>
      </c>
      <c r="CM46" s="10">
        <v>0</v>
      </c>
      <c r="CN46" s="10">
        <v>0</v>
      </c>
      <c r="CO46" s="10">
        <v>0</v>
      </c>
      <c r="CP46" s="10">
        <v>0</v>
      </c>
      <c r="CQ46" s="10">
        <v>0</v>
      </c>
      <c r="CR46" s="10">
        <v>0</v>
      </c>
      <c r="CS46" s="10">
        <v>0</v>
      </c>
      <c r="CT46" s="10">
        <v>0</v>
      </c>
      <c r="CU46" s="10">
        <v>0</v>
      </c>
      <c r="CV46" s="10">
        <v>0</v>
      </c>
      <c r="CW46" s="10">
        <v>0</v>
      </c>
      <c r="CX46" s="10" t="s">
        <v>130</v>
      </c>
      <c r="CY46" s="1" t="str">
        <f>VLOOKUP(bovespa_diario_last_date_1[[#This Row],[Stock]],Patterns!H:J,2,0)</f>
        <v>NO_PATTERN</v>
      </c>
      <c r="CZ46" s="5">
        <f>IF(RIGHT(bovespa_diario_last_date_1[[#This Row],[PATTERN]],4)="Bull",1,IF(RIGHT(bovespa_diario_last_date_1[[#This Row],[PATTERN]],4)="Bear",-1,0))</f>
        <v>0</v>
      </c>
    </row>
    <row r="47" spans="1:104" x14ac:dyDescent="0.25">
      <c r="A47" s="4">
        <v>44491</v>
      </c>
      <c r="B47" s="10">
        <v>17.209999084472656</v>
      </c>
      <c r="C47" s="10">
        <v>16.420000076293945</v>
      </c>
      <c r="D47" s="10">
        <v>16.850000381469727</v>
      </c>
      <c r="E47" s="10">
        <v>16.829999923706055</v>
      </c>
      <c r="F47" s="10">
        <v>7405700</v>
      </c>
      <c r="G47" s="10">
        <v>16.829999923706055</v>
      </c>
      <c r="H47" s="10">
        <v>17.030000686645508</v>
      </c>
      <c r="I47" s="10">
        <v>-1.1744025535846747E-2</v>
      </c>
      <c r="J47" s="10">
        <v>-1.1813531324852388E-2</v>
      </c>
      <c r="K47" s="10">
        <v>2.0000457763671875E-2</v>
      </c>
      <c r="L47" s="10">
        <v>0.40999984741210938</v>
      </c>
      <c r="M47" s="10">
        <v>0.35999870300292969</v>
      </c>
      <c r="N47" s="10">
        <v>1.1876756284113395E-3</v>
      </c>
      <c r="O47" s="10">
        <v>20.499523173755485</v>
      </c>
      <c r="P47" s="10">
        <v>17.999523173755485</v>
      </c>
      <c r="Q47" s="10">
        <v>0.30095671820062897</v>
      </c>
      <c r="R47" s="10">
        <v>0.30906242395839223</v>
      </c>
      <c r="S47" s="10">
        <v>-5.77194239265807E-2</v>
      </c>
      <c r="T47" s="10">
        <v>-88.087912233601003</v>
      </c>
      <c r="U47" s="10">
        <v>-84.418164512053409</v>
      </c>
      <c r="V47" s="10">
        <v>-70.437913385152441</v>
      </c>
      <c r="W47" s="10">
        <v>-15.723138455945632</v>
      </c>
      <c r="X47" s="10">
        <v>-1.2600002288818359</v>
      </c>
      <c r="Y47" s="10">
        <v>9.111065334743923E-2</v>
      </c>
      <c r="Z47" s="10">
        <v>-7405700</v>
      </c>
      <c r="AA47" s="10">
        <v>-108390000</v>
      </c>
      <c r="AB47" s="10">
        <v>-85.856694272125139</v>
      </c>
      <c r="AC47" s="10">
        <v>45.787039054721227</v>
      </c>
      <c r="AD47" s="10">
        <v>22.587056910622046</v>
      </c>
      <c r="AE47" s="10">
        <v>57.260033546728764</v>
      </c>
      <c r="AF47" s="10">
        <v>-80.708554343577617</v>
      </c>
      <c r="AG47" s="10">
        <v>0.60571438925606869</v>
      </c>
      <c r="AH47" s="10">
        <v>76.99916137655994</v>
      </c>
      <c r="AI47" s="10">
        <v>57.168579822305333</v>
      </c>
      <c r="AJ47" s="10">
        <v>17.136666615804035</v>
      </c>
      <c r="AK47" s="10">
        <v>17.896249771118164</v>
      </c>
      <c r="AL47" s="10">
        <v>17.864499950408934</v>
      </c>
      <c r="AM47" s="10">
        <v>0.46782201738384627</v>
      </c>
      <c r="AN47" s="10">
        <v>19.834492664337159</v>
      </c>
      <c r="AO47" s="10">
        <v>18.800143985176625</v>
      </c>
      <c r="AP47" s="10">
        <v>16.928855915641243</v>
      </c>
      <c r="AQ47" s="10">
        <v>-0.11706144209160128</v>
      </c>
      <c r="AR47" s="10">
        <v>-5.8737963388784111E-3</v>
      </c>
      <c r="AS47" s="10">
        <v>0.10474897560692967</v>
      </c>
      <c r="AT47" s="10">
        <v>84.705602927800967</v>
      </c>
      <c r="AU47" s="10">
        <v>24.133572831249893</v>
      </c>
      <c r="AV47" s="10">
        <v>11.620903282556824</v>
      </c>
      <c r="AW47" s="10">
        <v>32.231303980578772</v>
      </c>
      <c r="AX47" s="10">
        <v>-88.83571066281192</v>
      </c>
      <c r="AY47" s="10">
        <v>-76.286577268384761</v>
      </c>
      <c r="AZ47" s="10">
        <v>17.667032205300377</v>
      </c>
      <c r="BA47" s="10">
        <v>-4.9734538644608799E-2</v>
      </c>
      <c r="BB47" s="10">
        <v>-59.35318771592398</v>
      </c>
      <c r="BC47" s="10">
        <v>17.75553183715008</v>
      </c>
      <c r="BD47" s="10">
        <v>17.905275138609671</v>
      </c>
      <c r="BE47" s="10">
        <v>-6.3890387390259415E-2</v>
      </c>
      <c r="BF47" s="10">
        <v>17.97597206033933</v>
      </c>
      <c r="BG47" s="10">
        <v>18.360721130296731</v>
      </c>
      <c r="BH47" s="10">
        <v>-9.0951943762909063E-2</v>
      </c>
      <c r="BI47" s="10">
        <v>-61.738728618530459</v>
      </c>
      <c r="BJ47" s="10">
        <v>19.486391064726924</v>
      </c>
      <c r="BK47" s="10">
        <v>-0.15783666981953959</v>
      </c>
      <c r="BL47" s="10">
        <v>-0.22044022318925016</v>
      </c>
      <c r="BM47" s="10">
        <v>-0.1298246661181662</v>
      </c>
      <c r="BN47" s="10">
        <v>-9.0615557071083958E-2</v>
      </c>
      <c r="BO47" s="10">
        <v>-88.354920967785077</v>
      </c>
      <c r="BP47" s="10">
        <v>-40.419764027791288</v>
      </c>
      <c r="BQ47" s="10">
        <v>4563555.555555556</v>
      </c>
      <c r="BR47" s="10">
        <v>5771740</v>
      </c>
      <c r="BS47" s="10">
        <v>4580092</v>
      </c>
      <c r="BT47">
        <v>0.62279168289832465</v>
      </c>
      <c r="BU47">
        <v>0.28309660518318558</v>
      </c>
      <c r="BV47" s="10">
        <v>16.803268757089043</v>
      </c>
      <c r="BW47" s="10">
        <v>16.776721818974504</v>
      </c>
      <c r="BX47" s="10">
        <v>16.776721818974504</v>
      </c>
      <c r="BY47" s="10">
        <v>32.524171334655108</v>
      </c>
      <c r="BZ47" s="10">
        <v>-88.31572467218551</v>
      </c>
      <c r="CA47" s="10">
        <v>82.292189727958501</v>
      </c>
      <c r="CB47" s="10">
        <v>0</v>
      </c>
      <c r="CC47" s="10">
        <v>0</v>
      </c>
      <c r="CD47" s="10">
        <v>0</v>
      </c>
      <c r="CE47" s="10">
        <v>0</v>
      </c>
      <c r="CF47" s="10">
        <v>0</v>
      </c>
      <c r="CG47" s="10">
        <v>0</v>
      </c>
      <c r="CH47" s="10">
        <v>0</v>
      </c>
      <c r="CI47" s="10">
        <v>0</v>
      </c>
      <c r="CJ47" s="10">
        <v>0</v>
      </c>
      <c r="CK47" s="10">
        <v>0</v>
      </c>
      <c r="CL47" s="10">
        <v>0</v>
      </c>
      <c r="CM47" s="10">
        <v>0</v>
      </c>
      <c r="CN47" s="10">
        <v>0</v>
      </c>
      <c r="CO47" s="10">
        <v>0</v>
      </c>
      <c r="CP47" s="10">
        <v>0</v>
      </c>
      <c r="CQ47" s="10">
        <v>0</v>
      </c>
      <c r="CR47" s="10">
        <v>0</v>
      </c>
      <c r="CS47" s="10">
        <v>0</v>
      </c>
      <c r="CT47" s="10">
        <v>0</v>
      </c>
      <c r="CU47" s="10">
        <v>0</v>
      </c>
      <c r="CV47" s="10">
        <v>0</v>
      </c>
      <c r="CW47" s="10">
        <v>0</v>
      </c>
      <c r="CX47" s="10" t="s">
        <v>131</v>
      </c>
      <c r="CY47" s="1" t="str">
        <f>VLOOKUP(bovespa_diario_last_date_1[[#This Row],[Stock]],Patterns!H:J,2,0)</f>
        <v>CDLBELTHOLD_Bull</v>
      </c>
      <c r="CZ47" s="5">
        <f>IF(RIGHT(bovespa_diario_last_date_1[[#This Row],[PATTERN]],4)="Bull",1,IF(RIGHT(bovespa_diario_last_date_1[[#This Row],[PATTERN]],4)="Bear",-1,0))</f>
        <v>1</v>
      </c>
    </row>
    <row r="48" spans="1:104" x14ac:dyDescent="0.25">
      <c r="A48" s="4">
        <v>44491</v>
      </c>
      <c r="B48" s="10">
        <v>18.180000305175781</v>
      </c>
      <c r="C48" s="10">
        <v>16.709999084472656</v>
      </c>
      <c r="D48" s="10">
        <v>18.120000839233398</v>
      </c>
      <c r="E48" s="10">
        <v>17.569999694824219</v>
      </c>
      <c r="F48" s="10">
        <v>15010000</v>
      </c>
      <c r="G48" s="10">
        <v>17.569999694824219</v>
      </c>
      <c r="H48" s="10">
        <v>18.260000228881836</v>
      </c>
      <c r="I48" s="10">
        <v>-3.7787542464881474E-2</v>
      </c>
      <c r="J48" s="10">
        <v>-3.8520002871558393E-2</v>
      </c>
      <c r="K48" s="10">
        <v>0.55000114440917969</v>
      </c>
      <c r="L48" s="10">
        <v>0.8600006103515625</v>
      </c>
      <c r="M48" s="10">
        <v>5.9999465942382813E-2</v>
      </c>
      <c r="N48" s="10">
        <v>3.0821021920934655E-2</v>
      </c>
      <c r="O48" s="10">
        <v>1.5636342198440139</v>
      </c>
      <c r="P48" s="10">
        <v>0.10908971108930188</v>
      </c>
      <c r="Q48" s="10">
        <v>0.40495631414876815</v>
      </c>
      <c r="R48" s="10">
        <v>0.44596694550770083</v>
      </c>
      <c r="S48" s="10">
        <v>-8.0874176693527894E-2</v>
      </c>
      <c r="T48" s="10">
        <v>-86.713924519739237</v>
      </c>
      <c r="U48" s="10">
        <v>-82.548440527611831</v>
      </c>
      <c r="V48" s="10">
        <v>-45.512130955574399</v>
      </c>
      <c r="W48" s="10">
        <v>-17.098403562190455</v>
      </c>
      <c r="X48" s="10">
        <v>-2.6800003051757813</v>
      </c>
      <c r="Y48" s="10">
        <v>0.3611111111111111</v>
      </c>
      <c r="Z48" s="10">
        <v>-15010000</v>
      </c>
      <c r="AA48" s="10">
        <v>-273453500</v>
      </c>
      <c r="AB48" s="10">
        <v>-87.075214377801842</v>
      </c>
      <c r="AC48" s="10">
        <v>35.658784338786283</v>
      </c>
      <c r="AD48" s="10">
        <v>20.758177845595956</v>
      </c>
      <c r="AE48" s="10">
        <v>-71.431390575597348</v>
      </c>
      <c r="AF48" s="10">
        <v>-81.8024681273114</v>
      </c>
      <c r="AG48" s="10">
        <v>0.86571420942034039</v>
      </c>
      <c r="AH48" s="10">
        <v>78.293066133280732</v>
      </c>
      <c r="AI48" s="10">
        <v>59.33373052847891</v>
      </c>
      <c r="AJ48" s="10">
        <v>18.400000254313152</v>
      </c>
      <c r="AK48" s="10">
        <v>19.512500047683716</v>
      </c>
      <c r="AL48" s="10">
        <v>19.426499938964845</v>
      </c>
      <c r="AM48" s="10">
        <v>0.76573507586599998</v>
      </c>
      <c r="AN48" s="10">
        <v>22.552799978256225</v>
      </c>
      <c r="AO48" s="10">
        <v>20.957970090696847</v>
      </c>
      <c r="AP48" s="10">
        <v>17.895029787232843</v>
      </c>
      <c r="AQ48" s="10">
        <v>-0.19282700368348091</v>
      </c>
      <c r="AR48" s="10">
        <v>-1.8499151852824008E-2</v>
      </c>
      <c r="AS48" s="10">
        <v>0.15766814985135272</v>
      </c>
      <c r="AT48" s="10">
        <v>69.664238318290174</v>
      </c>
      <c r="AU48" s="10">
        <v>27.353902423507744</v>
      </c>
      <c r="AV48" s="10">
        <v>6.2810914105923672</v>
      </c>
      <c r="AW48" s="10">
        <v>27.965188975340169</v>
      </c>
      <c r="AX48" s="10">
        <v>-88.875914971087369</v>
      </c>
      <c r="AY48" s="10">
        <v>-40.275485279593376</v>
      </c>
      <c r="AZ48" s="10">
        <v>19.111784264935796</v>
      </c>
      <c r="BA48" s="10">
        <v>-8.7750973072911159E-2</v>
      </c>
      <c r="BB48" s="10">
        <v>-49.344601899607284</v>
      </c>
      <c r="BC48" s="10">
        <v>19.259967357297132</v>
      </c>
      <c r="BD48" s="10">
        <v>19.547853195652017</v>
      </c>
      <c r="BE48" s="10">
        <v>-0.11256992232108209</v>
      </c>
      <c r="BF48" s="10">
        <v>19.698817291393961</v>
      </c>
      <c r="BG48" s="10">
        <v>20.446295514355096</v>
      </c>
      <c r="BH48" s="10">
        <v>-0.16370494419406156</v>
      </c>
      <c r="BI48" s="10">
        <v>-55.29349418946736</v>
      </c>
      <c r="BJ48" s="10">
        <v>22.2776941094695</v>
      </c>
      <c r="BK48" s="10">
        <v>-0.26793935665417667</v>
      </c>
      <c r="BL48" s="10">
        <v>-0.43884993409682949</v>
      </c>
      <c r="BM48" s="10">
        <v>-0.31994585711357748</v>
      </c>
      <c r="BN48" s="10">
        <v>-0.11890407698325201</v>
      </c>
      <c r="BO48" s="10">
        <v>-86.759027078868641</v>
      </c>
      <c r="BP48" s="10">
        <v>42.554614832120308</v>
      </c>
      <c r="BQ48" s="10">
        <v>8977322.222222222</v>
      </c>
      <c r="BR48" s="10">
        <v>8150865</v>
      </c>
      <c r="BS48" s="10">
        <v>6923288</v>
      </c>
      <c r="BT48">
        <v>0.67199078171045823</v>
      </c>
      <c r="BU48">
        <v>0.84152234149381688</v>
      </c>
      <c r="BV48" s="10">
        <v>21.393047572685632</v>
      </c>
      <c r="BW48" s="10">
        <v>25.939991780131106</v>
      </c>
      <c r="BX48" s="10">
        <v>25.939991780131106</v>
      </c>
      <c r="BY48" s="10">
        <v>41.398535046139443</v>
      </c>
      <c r="BZ48" s="10">
        <v>-88.660505138654017</v>
      </c>
      <c r="CA48" s="10">
        <v>86.940761953435128</v>
      </c>
      <c r="CB48" s="10">
        <v>0</v>
      </c>
      <c r="CC48" s="10">
        <v>0</v>
      </c>
      <c r="CD48" s="10">
        <v>0</v>
      </c>
      <c r="CE48" s="10">
        <v>0</v>
      </c>
      <c r="CF48" s="10">
        <v>0</v>
      </c>
      <c r="CG48" s="10">
        <v>0</v>
      </c>
      <c r="CH48" s="10">
        <v>0</v>
      </c>
      <c r="CI48" s="10">
        <v>0</v>
      </c>
      <c r="CJ48" s="10">
        <v>0</v>
      </c>
      <c r="CK48" s="10">
        <v>0</v>
      </c>
      <c r="CL48" s="10">
        <v>0</v>
      </c>
      <c r="CM48" s="10">
        <v>0</v>
      </c>
      <c r="CN48" s="10">
        <v>0</v>
      </c>
      <c r="CO48" s="10">
        <v>0</v>
      </c>
      <c r="CP48" s="10">
        <v>0</v>
      </c>
      <c r="CQ48" s="10">
        <v>0</v>
      </c>
      <c r="CR48" s="10">
        <v>0</v>
      </c>
      <c r="CS48" s="10">
        <v>0</v>
      </c>
      <c r="CT48" s="10">
        <v>0</v>
      </c>
      <c r="CU48" s="10">
        <v>0</v>
      </c>
      <c r="CV48" s="10">
        <v>0</v>
      </c>
      <c r="CW48" s="10">
        <v>0</v>
      </c>
      <c r="CX48" s="10" t="s">
        <v>132</v>
      </c>
      <c r="CY48" s="1" t="str">
        <f>VLOOKUP(bovespa_diario_last_date_1[[#This Row],[Stock]],Patterns!H:J,2,0)</f>
        <v>CDLSHOOTINGSTAR_Bear</v>
      </c>
      <c r="CZ48" s="5">
        <f>IF(RIGHT(bovespa_diario_last_date_1[[#This Row],[PATTERN]],4)="Bull",1,IF(RIGHT(bovespa_diario_last_date_1[[#This Row],[PATTERN]],4)="Bear",-1,0))</f>
        <v>-1</v>
      </c>
    </row>
    <row r="49" spans="1:104" x14ac:dyDescent="0.25">
      <c r="A49" s="4">
        <v>44491</v>
      </c>
      <c r="B49" s="10">
        <v>21.959999084472656</v>
      </c>
      <c r="C49" s="10">
        <v>20.809999465942383</v>
      </c>
      <c r="D49" s="10">
        <v>21.329999923706055</v>
      </c>
      <c r="E49" s="10">
        <v>21.670000076293945</v>
      </c>
      <c r="F49" s="10">
        <v>13063100</v>
      </c>
      <c r="G49" s="10">
        <v>21.670000076293945</v>
      </c>
      <c r="H49" s="10">
        <v>21.5</v>
      </c>
      <c r="I49" s="10">
        <v>7.9069802927416166E-3</v>
      </c>
      <c r="J49" s="10">
        <v>7.8758839353679031E-3</v>
      </c>
      <c r="K49" s="10">
        <v>0.34000015258789063</v>
      </c>
      <c r="L49" s="10">
        <v>0.52000045776367188</v>
      </c>
      <c r="M49" s="10">
        <v>0.28999900817871094</v>
      </c>
      <c r="N49" s="10">
        <v>1.5813960585483285E-2</v>
      </c>
      <c r="O49" s="10">
        <v>1.529412424687812</v>
      </c>
      <c r="P49" s="10">
        <v>0.85293787656093978</v>
      </c>
      <c r="Q49" s="10">
        <v>0.24978408253814186</v>
      </c>
      <c r="R49" s="10">
        <v>0.23281044802293382</v>
      </c>
      <c r="S49" s="10">
        <v>9.3281796658474234E-2</v>
      </c>
      <c r="T49" s="10">
        <v>34.117354404755311</v>
      </c>
      <c r="U49" s="10">
        <v>73.068167518513036</v>
      </c>
      <c r="V49" s="10">
        <v>79.304733351595743</v>
      </c>
      <c r="W49" s="10">
        <v>71.858237990012938</v>
      </c>
      <c r="X49" s="10">
        <v>1.6100006103515625</v>
      </c>
      <c r="Y49" s="10">
        <v>1.2911112043592665</v>
      </c>
      <c r="Z49" s="10">
        <v>13063100</v>
      </c>
      <c r="AA49" s="10">
        <v>49432100</v>
      </c>
      <c r="AB49" s="10">
        <v>87.446784361093393</v>
      </c>
      <c r="AC49" s="10">
        <v>85.212301044239879</v>
      </c>
      <c r="AD49" s="10">
        <v>25.632437826252961</v>
      </c>
      <c r="AE49" s="10">
        <v>81.537224635212311</v>
      </c>
      <c r="AF49" s="10">
        <v>65.540720115297773</v>
      </c>
      <c r="AG49" s="10">
        <v>0.64785698481968468</v>
      </c>
      <c r="AH49" s="10">
        <v>49.976686702183372</v>
      </c>
      <c r="AI49" s="10">
        <v>39.661638331814572</v>
      </c>
      <c r="AJ49" s="10">
        <v>21.526666641235352</v>
      </c>
      <c r="AK49" s="10">
        <v>21.433749914169312</v>
      </c>
      <c r="AL49" s="10">
        <v>20.618499851226808</v>
      </c>
      <c r="AM49" s="10">
        <v>0.72378599347733119</v>
      </c>
      <c r="AN49" s="10">
        <v>22.931441497802734</v>
      </c>
      <c r="AO49" s="10">
        <v>22.066071838181472</v>
      </c>
      <c r="AP49" s="10">
        <v>19.170927864272144</v>
      </c>
      <c r="AQ49" s="10">
        <v>-1.8277423188420384E-2</v>
      </c>
      <c r="AR49" s="10">
        <v>0.11532405183309986</v>
      </c>
      <c r="AS49" s="10">
        <v>0.14041486988865803</v>
      </c>
      <c r="AT49" s="10">
        <v>-65.880479627405748</v>
      </c>
      <c r="AU49" s="10">
        <v>77.850452202033608</v>
      </c>
      <c r="AV49" s="10">
        <v>76.772957856573171</v>
      </c>
      <c r="AW49" s="10">
        <v>69.549821511222717</v>
      </c>
      <c r="AX49" s="10">
        <v>-79.430350599533682</v>
      </c>
      <c r="AY49" s="10">
        <v>85.317433847922047</v>
      </c>
      <c r="AZ49" s="10">
        <v>21.242813963720884</v>
      </c>
      <c r="BA49" s="10">
        <v>1.9713249241765547E-2</v>
      </c>
      <c r="BB49" s="10">
        <v>78.917257498577399</v>
      </c>
      <c r="BC49" s="10">
        <v>21.079521873877731</v>
      </c>
      <c r="BD49" s="10">
        <v>20.716264833924996</v>
      </c>
      <c r="BE49" s="10">
        <v>4.4011778449982351E-2</v>
      </c>
      <c r="BF49" s="10">
        <v>20.595754949335433</v>
      </c>
      <c r="BG49" s="10">
        <v>20.510252871808991</v>
      </c>
      <c r="BH49" s="10">
        <v>5.3518560240046725E-2</v>
      </c>
      <c r="BI49" s="10">
        <v>44.907073681151303</v>
      </c>
      <c r="BJ49" s="10">
        <v>22.412563591764773</v>
      </c>
      <c r="BK49" s="10">
        <v>-3.4266890302559812E-2</v>
      </c>
      <c r="BL49" s="10">
        <v>0.48376692454229797</v>
      </c>
      <c r="BM49" s="10">
        <v>0.35281971133806667</v>
      </c>
      <c r="BN49" s="10">
        <v>0.13094721320423131</v>
      </c>
      <c r="BO49" s="10">
        <v>-82.847409277390113</v>
      </c>
      <c r="BP49" s="10">
        <v>70.405259947395578</v>
      </c>
      <c r="BQ49" s="10">
        <v>7085633.333333333</v>
      </c>
      <c r="BR49" s="10">
        <v>7100600</v>
      </c>
      <c r="BS49" s="10">
        <v>6373870.5</v>
      </c>
      <c r="BT49">
        <v>0.84360372396727668</v>
      </c>
      <c r="BU49">
        <v>0.83971777032926798</v>
      </c>
      <c r="BV49" s="10">
        <v>88.537583079020067</v>
      </c>
      <c r="BW49" s="10">
        <v>84.168403036284502</v>
      </c>
      <c r="BX49" s="10">
        <v>84.168403036284502</v>
      </c>
      <c r="BY49" s="10">
        <v>81.767344178804109</v>
      </c>
      <c r="BZ49" s="10">
        <v>-73.475109062401046</v>
      </c>
      <c r="CA49" s="10">
        <v>72.625332245979379</v>
      </c>
      <c r="CB49" s="10">
        <v>0</v>
      </c>
      <c r="CC49" s="10">
        <v>0</v>
      </c>
      <c r="CD49" s="10">
        <v>0</v>
      </c>
      <c r="CE49" s="10">
        <v>0</v>
      </c>
      <c r="CF49" s="10">
        <v>0</v>
      </c>
      <c r="CG49" s="10">
        <v>0</v>
      </c>
      <c r="CH49" s="10">
        <v>0</v>
      </c>
      <c r="CI49" s="10">
        <v>0</v>
      </c>
      <c r="CJ49" s="10">
        <v>0</v>
      </c>
      <c r="CK49" s="10">
        <v>0</v>
      </c>
      <c r="CL49" s="10">
        <v>0</v>
      </c>
      <c r="CM49" s="10">
        <v>0</v>
      </c>
      <c r="CN49" s="10">
        <v>0</v>
      </c>
      <c r="CO49" s="10">
        <v>0</v>
      </c>
      <c r="CP49" s="10">
        <v>0</v>
      </c>
      <c r="CQ49" s="10">
        <v>0</v>
      </c>
      <c r="CR49" s="10">
        <v>0</v>
      </c>
      <c r="CS49" s="10">
        <v>0</v>
      </c>
      <c r="CT49" s="10">
        <v>0</v>
      </c>
      <c r="CU49" s="10">
        <v>0</v>
      </c>
      <c r="CV49" s="10">
        <v>0</v>
      </c>
      <c r="CW49" s="10">
        <v>0</v>
      </c>
      <c r="CX49" s="10" t="s">
        <v>133</v>
      </c>
      <c r="CY49" s="1" t="str">
        <f>VLOOKUP(bovespa_diario_last_date_1[[#This Row],[Stock]],Patterns!H:J,2,0)</f>
        <v>NO_PATTERN</v>
      </c>
      <c r="CZ49" s="5">
        <f>IF(RIGHT(bovespa_diario_last_date_1[[#This Row],[PATTERN]],4)="Bull",1,IF(RIGHT(bovespa_diario_last_date_1[[#This Row],[PATTERN]],4)="Bear",-1,0))</f>
        <v>0</v>
      </c>
    </row>
    <row r="50" spans="1:104" x14ac:dyDescent="0.25">
      <c r="A50" s="4">
        <v>44491</v>
      </c>
      <c r="B50" s="10">
        <v>13.890000343322754</v>
      </c>
      <c r="C50" s="10">
        <v>12.699999809265137</v>
      </c>
      <c r="D50" s="10">
        <v>13.640000343322754</v>
      </c>
      <c r="E50" s="10">
        <v>13.5</v>
      </c>
      <c r="F50" s="10">
        <v>18831900</v>
      </c>
      <c r="G50" s="10">
        <v>13.5</v>
      </c>
      <c r="H50" s="10">
        <v>13.960000038146973</v>
      </c>
      <c r="I50" s="10">
        <v>-3.2951292040829583E-2</v>
      </c>
      <c r="J50" s="10">
        <v>-3.3506414622433839E-2</v>
      </c>
      <c r="K50" s="10">
        <v>0.14000034332275391</v>
      </c>
      <c r="L50" s="10">
        <v>0.80000019073486328</v>
      </c>
      <c r="M50" s="10">
        <v>0.25</v>
      </c>
      <c r="N50" s="10">
        <v>1.0316900630194586E-2</v>
      </c>
      <c r="O50" s="10">
        <v>5.7142730635349892</v>
      </c>
      <c r="P50" s="10">
        <v>1.7857099066082656</v>
      </c>
      <c r="Q50" s="10">
        <v>0.4452375859665223</v>
      </c>
      <c r="R50" s="10">
        <v>0.5321590233023914</v>
      </c>
      <c r="S50" s="10">
        <v>-4.4194056088464023E-2</v>
      </c>
      <c r="T50" s="10">
        <v>-85.27172281604183</v>
      </c>
      <c r="U50" s="10">
        <v>-77.265662491023122</v>
      </c>
      <c r="V50" s="10">
        <v>-35.380798575275413</v>
      </c>
      <c r="W50" s="10">
        <v>-51.04345095041672</v>
      </c>
      <c r="X50" s="10">
        <v>-1.1999998092651367</v>
      </c>
      <c r="Y50" s="10">
        <v>6.6669252183702253E-3</v>
      </c>
      <c r="Z50" s="10">
        <v>-18831900</v>
      </c>
      <c r="AA50" s="10">
        <v>-42729700</v>
      </c>
      <c r="AB50" s="10">
        <v>-85.002204349256075</v>
      </c>
      <c r="AC50" s="10">
        <v>60.319566737293634</v>
      </c>
      <c r="AD50" s="10">
        <v>14.86732674246794</v>
      </c>
      <c r="AE50" s="10">
        <v>76.969146071917834</v>
      </c>
      <c r="AF50" s="10">
        <v>-81.54705719001656</v>
      </c>
      <c r="AG50" s="10">
        <v>0.69714294161115375</v>
      </c>
      <c r="AH50" s="10">
        <v>81.648938753412438</v>
      </c>
      <c r="AI50" s="10">
        <v>5.1812978355280848</v>
      </c>
      <c r="AJ50" s="10">
        <v>14.090000152587891</v>
      </c>
      <c r="AK50" s="10">
        <v>14.685000061988831</v>
      </c>
      <c r="AL50" s="10">
        <v>14.791499948501587</v>
      </c>
      <c r="AM50" s="10">
        <v>0.52462800707121116</v>
      </c>
      <c r="AN50" s="10">
        <v>18.74593134880066</v>
      </c>
      <c r="AO50" s="10">
        <v>15.840755962644009</v>
      </c>
      <c r="AP50" s="10">
        <v>13.742243934359164</v>
      </c>
      <c r="AQ50" s="10">
        <v>-0.17338933056622285</v>
      </c>
      <c r="AR50" s="10">
        <v>-1.7943995137715888E-2</v>
      </c>
      <c r="AS50" s="10">
        <v>0.14187283477612617</v>
      </c>
      <c r="AT50" s="10">
        <v>-31.054520279023777</v>
      </c>
      <c r="AU50" s="10">
        <v>-53.641031541827275</v>
      </c>
      <c r="AV50" s="10">
        <v>14.307081963114072</v>
      </c>
      <c r="AW50" s="10">
        <v>34.082752401535203</v>
      </c>
      <c r="AX50" s="10">
        <v>-88.541857642718696</v>
      </c>
      <c r="AY50" s="10">
        <v>-55.34349010127935</v>
      </c>
      <c r="AZ50" s="10">
        <v>14.460399528329454</v>
      </c>
      <c r="BA50" s="10">
        <v>-7.1140705802181764E-2</v>
      </c>
      <c r="BB50" s="10">
        <v>-27.727300670425933</v>
      </c>
      <c r="BC50" s="10">
        <v>14.542371154299568</v>
      </c>
      <c r="BD50" s="10">
        <v>14.668378879849412</v>
      </c>
      <c r="BE50" s="10">
        <v>-8.6546583692549015E-2</v>
      </c>
      <c r="BF50" s="10">
        <v>14.735109393880069</v>
      </c>
      <c r="BG50" s="10">
        <v>15.225458151737373</v>
      </c>
      <c r="BH50" s="10">
        <v>-0.12781171494350907</v>
      </c>
      <c r="BI50" s="10">
        <v>-49.406109780250304</v>
      </c>
      <c r="BJ50" s="10">
        <v>17.710008211315536</v>
      </c>
      <c r="BK50" s="10">
        <v>-0.3118524600974471</v>
      </c>
      <c r="BL50" s="10">
        <v>-0.19273823958050151</v>
      </c>
      <c r="BM50" s="10">
        <v>-0.10342246784087045</v>
      </c>
      <c r="BN50" s="10">
        <v>-8.9315771739631067E-2</v>
      </c>
      <c r="BO50" s="10">
        <v>-86.596835733664676</v>
      </c>
      <c r="BP50" s="10">
        <v>-62.807928088840349</v>
      </c>
      <c r="BQ50" s="10">
        <v>8800500</v>
      </c>
      <c r="BR50" s="10">
        <v>8429930</v>
      </c>
      <c r="BS50" s="10">
        <v>7174830</v>
      </c>
      <c r="BT50">
        <v>1.1398670530083517</v>
      </c>
      <c r="BU50">
        <v>1.2339331406073359</v>
      </c>
      <c r="BV50" s="10">
        <v>27.491416930702286</v>
      </c>
      <c r="BW50" s="10">
        <v>32.305680204688279</v>
      </c>
      <c r="BX50" s="10">
        <v>32.305680204688279</v>
      </c>
      <c r="BY50" s="10">
        <v>42.792285873363198</v>
      </c>
      <c r="BZ50" s="10">
        <v>-86.294070462831471</v>
      </c>
      <c r="CA50" s="10">
        <v>72.936397142466632</v>
      </c>
      <c r="CB50" s="10">
        <v>0</v>
      </c>
      <c r="CC50" s="10">
        <v>0</v>
      </c>
      <c r="CD50" s="10">
        <v>0</v>
      </c>
      <c r="CE50" s="10">
        <v>0</v>
      </c>
      <c r="CF50" s="10">
        <v>0</v>
      </c>
      <c r="CG50" s="10">
        <v>0</v>
      </c>
      <c r="CH50" s="10">
        <v>0</v>
      </c>
      <c r="CI50" s="10">
        <v>0</v>
      </c>
      <c r="CJ50" s="10">
        <v>0</v>
      </c>
      <c r="CK50" s="10">
        <v>0</v>
      </c>
      <c r="CL50" s="10">
        <v>0</v>
      </c>
      <c r="CM50" s="10">
        <v>0</v>
      </c>
      <c r="CN50" s="10">
        <v>0</v>
      </c>
      <c r="CO50" s="10">
        <v>0</v>
      </c>
      <c r="CP50" s="10">
        <v>0</v>
      </c>
      <c r="CQ50" s="10">
        <v>0</v>
      </c>
      <c r="CR50" s="10">
        <v>0</v>
      </c>
      <c r="CS50" s="10">
        <v>0</v>
      </c>
      <c r="CT50" s="10">
        <v>0</v>
      </c>
      <c r="CU50" s="10">
        <v>0</v>
      </c>
      <c r="CV50" s="10">
        <v>0</v>
      </c>
      <c r="CW50" s="10">
        <v>0</v>
      </c>
      <c r="CX50" s="10" t="s">
        <v>134</v>
      </c>
      <c r="CY50" s="1" t="str">
        <f>VLOOKUP(bovespa_diario_last_date_1[[#This Row],[Stock]],Patterns!H:J,2,0)</f>
        <v>CDLHIGHWAVE_Bull</v>
      </c>
      <c r="CZ50" s="5">
        <f>IF(RIGHT(bovespa_diario_last_date_1[[#This Row],[PATTERN]],4)="Bull",1,IF(RIGHT(bovespa_diario_last_date_1[[#This Row],[PATTERN]],4)="Bear",-1,0))</f>
        <v>1</v>
      </c>
    </row>
    <row r="51" spans="1:104" x14ac:dyDescent="0.25">
      <c r="A51" s="4">
        <v>44491</v>
      </c>
      <c r="B51" s="10">
        <v>11.989999771118164</v>
      </c>
      <c r="C51" s="10">
        <v>10.939999580383301</v>
      </c>
      <c r="D51" s="10">
        <v>11.260000228881836</v>
      </c>
      <c r="E51" s="10">
        <v>11.609999656677246</v>
      </c>
      <c r="F51" s="10">
        <v>32310800</v>
      </c>
      <c r="G51" s="10">
        <v>11.609999656677246</v>
      </c>
      <c r="H51" s="10">
        <v>11.609999656677246</v>
      </c>
      <c r="I51" s="10">
        <v>0</v>
      </c>
      <c r="J51" s="10">
        <v>0</v>
      </c>
      <c r="K51" s="10">
        <v>0.34999942779541016</v>
      </c>
      <c r="L51" s="10">
        <v>0.32000064849853516</v>
      </c>
      <c r="M51" s="10">
        <v>0.38000011444091797</v>
      </c>
      <c r="N51" s="10">
        <v>3.0607733235399975E-2</v>
      </c>
      <c r="O51" s="10">
        <v>0.91428906188266512</v>
      </c>
      <c r="P51" s="10">
        <v>1.0857163876937665</v>
      </c>
      <c r="Q51" s="10">
        <v>0.3715795301594324</v>
      </c>
      <c r="R51" s="10">
        <v>0.35383376769691816</v>
      </c>
      <c r="S51" s="10">
        <v>-7.386187816975226E-2</v>
      </c>
      <c r="T51" s="10">
        <v>-83.806024116211105</v>
      </c>
      <c r="U51" s="10">
        <v>-82.395772345651423</v>
      </c>
      <c r="V51" s="10">
        <v>-73.559816924273875</v>
      </c>
      <c r="W51" s="10">
        <v>-78.224637221948328</v>
      </c>
      <c r="X51" s="10">
        <v>-1.2600002288818359</v>
      </c>
      <c r="Y51" s="10">
        <v>-0.74444452921549475</v>
      </c>
      <c r="Z51" s="10">
        <v>32310800</v>
      </c>
      <c r="AA51" s="10">
        <v>105643700</v>
      </c>
      <c r="AB51" s="10">
        <v>-86.176879758133438</v>
      </c>
      <c r="AC51" s="10">
        <v>-76.205191398182151</v>
      </c>
      <c r="AD51" s="10">
        <v>39.528949918463958</v>
      </c>
      <c r="AE51" s="10">
        <v>87.111604228808204</v>
      </c>
      <c r="AF51" s="10">
        <v>85.81912818120712</v>
      </c>
      <c r="AG51" s="10">
        <v>0.58285726819719585</v>
      </c>
      <c r="AH51" s="10">
        <v>74.053076200470457</v>
      </c>
      <c r="AI51" s="10">
        <v>-62.598535334632778</v>
      </c>
      <c r="AJ51" s="10">
        <v>11.649999618530273</v>
      </c>
      <c r="AK51" s="10">
        <v>12.284999847412109</v>
      </c>
      <c r="AL51" s="10">
        <v>12.911312437057495</v>
      </c>
      <c r="AM51" s="10">
        <v>0.83750186911975977</v>
      </c>
      <c r="AN51" s="10">
        <v>15.18618414402008</v>
      </c>
      <c r="AO51" s="10">
        <v>14.586316175297014</v>
      </c>
      <c r="AP51" s="10">
        <v>11.236308698817975</v>
      </c>
      <c r="AQ51" s="10">
        <v>-0.25635801952052623</v>
      </c>
      <c r="AR51" s="10">
        <v>3.2186991292833533E-2</v>
      </c>
      <c r="AS51" s="10">
        <v>0.25946297038432681</v>
      </c>
      <c r="AT51" s="10">
        <v>-48.258087367021183</v>
      </c>
      <c r="AU51" s="10">
        <v>56.636427855633492</v>
      </c>
      <c r="AV51" s="10">
        <v>8.9391736657359502</v>
      </c>
      <c r="AW51" s="10">
        <v>21.267900192430602</v>
      </c>
      <c r="AX51" s="10">
        <v>-86.889552200405745</v>
      </c>
      <c r="AY51" s="10">
        <v>46.700131516146968</v>
      </c>
      <c r="AZ51" s="10">
        <v>12.21059592578235</v>
      </c>
      <c r="BA51" s="10">
        <v>-5.1730946327779054E-2</v>
      </c>
      <c r="BB51" s="10">
        <v>-79.0890244945018</v>
      </c>
      <c r="BC51" s="10">
        <v>12.406890024062387</v>
      </c>
      <c r="BD51" s="10">
        <v>12.894176537408649</v>
      </c>
      <c r="BE51" s="10">
        <v>-0.11060955372146249</v>
      </c>
      <c r="BF51" s="10">
        <v>13.102893983239403</v>
      </c>
      <c r="BG51" s="10">
        <v>13.728688933451874</v>
      </c>
      <c r="BH51" s="10">
        <v>-0.18248831519612566</v>
      </c>
      <c r="BI51" s="10">
        <v>-77.321185218356391</v>
      </c>
      <c r="BJ51" s="10">
        <v>14.466444697296</v>
      </c>
      <c r="BK51" s="10">
        <v>-0.24603317184216536</v>
      </c>
      <c r="BL51" s="10">
        <v>-0.69600395917701618</v>
      </c>
      <c r="BM51" s="10">
        <v>-0.59245799864531934</v>
      </c>
      <c r="BN51" s="10">
        <v>-0.10354596053169685</v>
      </c>
      <c r="BO51" s="10">
        <v>-85.236978398785297</v>
      </c>
      <c r="BP51" s="10">
        <v>83.858580307975259</v>
      </c>
      <c r="BQ51" s="10">
        <v>23768055.555555556</v>
      </c>
      <c r="BR51" s="10">
        <v>21630375</v>
      </c>
      <c r="BS51" s="10">
        <v>12532771</v>
      </c>
      <c r="BT51">
        <v>0.3594212586922223</v>
      </c>
      <c r="BU51">
        <v>0.49376975665008116</v>
      </c>
      <c r="BV51" s="10">
        <v>27.016126706374887</v>
      </c>
      <c r="BW51" s="10">
        <v>14.164100666899046</v>
      </c>
      <c r="BX51" s="10">
        <v>14.164100666899046</v>
      </c>
      <c r="BY51" s="10">
        <v>10.476865112872369</v>
      </c>
      <c r="BZ51" s="10">
        <v>-87.19147507357043</v>
      </c>
      <c r="CA51" s="10">
        <v>78.367473067503482</v>
      </c>
      <c r="CB51" s="10">
        <v>0</v>
      </c>
      <c r="CC51" s="10">
        <v>0</v>
      </c>
      <c r="CD51" s="10">
        <v>0</v>
      </c>
      <c r="CE51" s="10">
        <v>0</v>
      </c>
      <c r="CF51" s="10">
        <v>0</v>
      </c>
      <c r="CG51" s="10">
        <v>0</v>
      </c>
      <c r="CH51" s="10">
        <v>0</v>
      </c>
      <c r="CI51" s="10">
        <v>0</v>
      </c>
      <c r="CJ51" s="10">
        <v>0</v>
      </c>
      <c r="CK51" s="10">
        <v>0</v>
      </c>
      <c r="CL51" s="10">
        <v>0</v>
      </c>
      <c r="CM51" s="10">
        <v>0</v>
      </c>
      <c r="CN51" s="10">
        <v>0</v>
      </c>
      <c r="CO51" s="10">
        <v>0</v>
      </c>
      <c r="CP51" s="10">
        <v>0</v>
      </c>
      <c r="CQ51" s="10">
        <v>0</v>
      </c>
      <c r="CR51" s="10">
        <v>0</v>
      </c>
      <c r="CS51" s="10">
        <v>0</v>
      </c>
      <c r="CT51" s="10">
        <v>0</v>
      </c>
      <c r="CU51" s="10">
        <v>0</v>
      </c>
      <c r="CV51" s="10">
        <v>0</v>
      </c>
      <c r="CW51" s="10">
        <v>0</v>
      </c>
      <c r="CX51" s="10" t="s">
        <v>135</v>
      </c>
      <c r="CY51" s="1" t="str">
        <f>VLOOKUP(bovespa_diario_last_date_1[[#This Row],[Stock]],Patterns!H:J,2,0)</f>
        <v>NO_PATTERN</v>
      </c>
      <c r="CZ51" s="5">
        <f>IF(RIGHT(bovespa_diario_last_date_1[[#This Row],[PATTERN]],4)="Bull",1,IF(RIGHT(bovespa_diario_last_date_1[[#This Row],[PATTERN]],4)="Bear",-1,0))</f>
        <v>0</v>
      </c>
    </row>
    <row r="52" spans="1:104" x14ac:dyDescent="0.25">
      <c r="A52" s="4">
        <v>44491</v>
      </c>
      <c r="B52" s="10">
        <v>32.310001373291016</v>
      </c>
      <c r="C52" s="10">
        <v>30.190000534057617</v>
      </c>
      <c r="D52" s="10">
        <v>31.75</v>
      </c>
      <c r="E52" s="10">
        <v>31.879999160766602</v>
      </c>
      <c r="F52" s="10">
        <v>6620300</v>
      </c>
      <c r="G52" s="10">
        <v>31.879999160766602</v>
      </c>
      <c r="H52" s="10">
        <v>32.560001373291016</v>
      </c>
      <c r="I52" s="10">
        <v>-2.0884587955890543E-2</v>
      </c>
      <c r="J52" s="10">
        <v>-2.1105755714328735E-2</v>
      </c>
      <c r="K52" s="10">
        <v>0.12999916076660156</v>
      </c>
      <c r="L52" s="10">
        <v>1.5599994659423828</v>
      </c>
      <c r="M52" s="10">
        <v>0.43000221252441406</v>
      </c>
      <c r="N52" s="10">
        <v>4.0860965733520637E-3</v>
      </c>
      <c r="O52" s="10">
        <v>12.000073360036387</v>
      </c>
      <c r="P52" s="10">
        <v>3.3077306806344176</v>
      </c>
      <c r="Q52" s="10">
        <v>0.38970607041861638</v>
      </c>
      <c r="R52" s="10">
        <v>0.42362204410655963</v>
      </c>
      <c r="S52" s="10">
        <v>-4.5678433157781799E-2</v>
      </c>
      <c r="T52" s="10">
        <v>-86.44974989399519</v>
      </c>
      <c r="U52" s="10">
        <v>-81.72801432959011</v>
      </c>
      <c r="V52" s="10">
        <v>-51.703821286072255</v>
      </c>
      <c r="W52" s="10">
        <v>-70.852091691943571</v>
      </c>
      <c r="X52" s="10">
        <v>-2.7800006866455078</v>
      </c>
      <c r="Y52" s="10">
        <v>-0.50888760884602868</v>
      </c>
      <c r="Z52" s="10">
        <v>-6620300</v>
      </c>
      <c r="AA52" s="10">
        <v>-7184700</v>
      </c>
      <c r="AB52" s="10">
        <v>-85.333105180329127</v>
      </c>
      <c r="AC52" s="10">
        <v>-56.896350673002438</v>
      </c>
      <c r="AD52" s="10">
        <v>17.842524723154277</v>
      </c>
      <c r="AE52" s="10">
        <v>83.453931090477866</v>
      </c>
      <c r="AF52" s="10">
        <v>-75.466727385594851</v>
      </c>
      <c r="AG52" s="10">
        <v>1.6285706928798132</v>
      </c>
      <c r="AH52" s="10">
        <v>84.144843158338702</v>
      </c>
      <c r="AI52" s="10">
        <v>44.523621336466654</v>
      </c>
      <c r="AJ52" s="10">
        <v>32.633333206176758</v>
      </c>
      <c r="AK52" s="10">
        <v>34.417500257492065</v>
      </c>
      <c r="AL52" s="10">
        <v>34.914499759674072</v>
      </c>
      <c r="AM52" s="10">
        <v>1.5606021174331961</v>
      </c>
      <c r="AN52" s="10">
        <v>33.510565528869627</v>
      </c>
      <c r="AO52" s="10">
        <v>38.035703994540462</v>
      </c>
      <c r="AP52" s="10">
        <v>31.793295524807679</v>
      </c>
      <c r="AQ52" s="10">
        <v>-0.19308986812488479</v>
      </c>
      <c r="AR52" s="10">
        <v>2.7196875232551893E-3</v>
      </c>
      <c r="AS52" s="10">
        <v>0.17879129051542958</v>
      </c>
      <c r="AT52" s="10">
        <v>-40.294846430157662</v>
      </c>
      <c r="AU52" s="10">
        <v>34.69244128942124</v>
      </c>
      <c r="AV52" s="10">
        <v>10.862025690804444</v>
      </c>
      <c r="AW52" s="10">
        <v>30.845826860739024</v>
      </c>
      <c r="AX52" s="10">
        <v>-88.225338800424524</v>
      </c>
      <c r="AY52" s="10">
        <v>73.714044133437355</v>
      </c>
      <c r="AZ52" s="10">
        <v>33.867026221881403</v>
      </c>
      <c r="BA52" s="10">
        <v>-6.2328328526437153E-2</v>
      </c>
      <c r="BB52" s="10">
        <v>-63.137808602124153</v>
      </c>
      <c r="BC52" s="10">
        <v>34.201038801993768</v>
      </c>
      <c r="BD52" s="10">
        <v>34.959123143226506</v>
      </c>
      <c r="BE52" s="10">
        <v>-9.6584820060135232E-2</v>
      </c>
      <c r="BF52" s="10">
        <v>35.264658698252362</v>
      </c>
      <c r="BG52" s="10">
        <v>35.965293010251528</v>
      </c>
      <c r="BH52" s="10">
        <v>-0.12814598359564983</v>
      </c>
      <c r="BI52" s="10">
        <v>-62.403599816561645</v>
      </c>
      <c r="BJ52" s="10">
        <v>33.709700230897255</v>
      </c>
      <c r="BK52" s="10">
        <v>-5.7393385141063333E-2</v>
      </c>
      <c r="BL52" s="10">
        <v>-1.0636198962585937</v>
      </c>
      <c r="BM52" s="10">
        <v>-0.83062908327073137</v>
      </c>
      <c r="BN52" s="10">
        <v>-0.23299081298786228</v>
      </c>
      <c r="BO52" s="10">
        <v>-87.560932401506719</v>
      </c>
      <c r="BP52" s="10">
        <v>84.256881448413708</v>
      </c>
      <c r="BQ52" s="10">
        <v>3643511.111111111</v>
      </c>
      <c r="BR52" s="10">
        <v>4229350</v>
      </c>
      <c r="BS52" s="10">
        <v>4362184.5</v>
      </c>
      <c r="BT52">
        <v>0.81701106380902422</v>
      </c>
      <c r="BU52">
        <v>0.565323276626432</v>
      </c>
      <c r="BV52" s="10">
        <v>26.740493961217432</v>
      </c>
      <c r="BW52" s="10">
        <v>18.390648331423844</v>
      </c>
      <c r="BX52" s="10">
        <v>18.390648331423844</v>
      </c>
      <c r="BY52" s="10">
        <v>28.622586419078932</v>
      </c>
      <c r="BZ52" s="10">
        <v>-88.049061991772405</v>
      </c>
      <c r="CA52" s="10">
        <v>85.276753450856347</v>
      </c>
      <c r="CB52" s="10">
        <v>0</v>
      </c>
      <c r="CC52" s="10">
        <v>0</v>
      </c>
      <c r="CD52" s="10">
        <v>0</v>
      </c>
      <c r="CE52" s="10">
        <v>0</v>
      </c>
      <c r="CF52" s="10">
        <v>0</v>
      </c>
      <c r="CG52" s="10">
        <v>0</v>
      </c>
      <c r="CH52" s="10">
        <v>0</v>
      </c>
      <c r="CI52" s="10">
        <v>0</v>
      </c>
      <c r="CJ52" s="10">
        <v>0</v>
      </c>
      <c r="CK52" s="10">
        <v>0</v>
      </c>
      <c r="CL52" s="10">
        <v>0</v>
      </c>
      <c r="CM52" s="10">
        <v>0</v>
      </c>
      <c r="CN52" s="10">
        <v>0</v>
      </c>
      <c r="CO52" s="10">
        <v>0</v>
      </c>
      <c r="CP52" s="10">
        <v>0</v>
      </c>
      <c r="CQ52" s="10">
        <v>0</v>
      </c>
      <c r="CR52" s="10">
        <v>0</v>
      </c>
      <c r="CS52" s="10">
        <v>0</v>
      </c>
      <c r="CT52" s="10">
        <v>0</v>
      </c>
      <c r="CU52" s="10">
        <v>0</v>
      </c>
      <c r="CV52" s="10">
        <v>0</v>
      </c>
      <c r="CW52" s="10">
        <v>0</v>
      </c>
      <c r="CX52" s="10" t="s">
        <v>136</v>
      </c>
      <c r="CY52" s="1" t="str">
        <f>VLOOKUP(bovespa_diario_last_date_1[[#This Row],[Stock]],Patterns!H:J,2,0)</f>
        <v>CDLSHOOTINGSTAR_Bear</v>
      </c>
      <c r="CZ52" s="5">
        <f>IF(RIGHT(bovespa_diario_last_date_1[[#This Row],[PATTERN]],4)="Bull",1,IF(RIGHT(bovespa_diario_last_date_1[[#This Row],[PATTERN]],4)="Bear",-1,0))</f>
        <v>-1</v>
      </c>
    </row>
    <row r="53" spans="1:104" x14ac:dyDescent="0.25">
      <c r="A53" s="4">
        <v>44491</v>
      </c>
      <c r="B53" s="10">
        <v>18.540000915527344</v>
      </c>
      <c r="C53" s="10">
        <v>17.270000457763672</v>
      </c>
      <c r="D53" s="10">
        <v>17.510000228881836</v>
      </c>
      <c r="E53" s="10">
        <v>18.299999237060547</v>
      </c>
      <c r="F53" s="10">
        <v>3340700</v>
      </c>
      <c r="G53" s="10">
        <v>18.299999237060547</v>
      </c>
      <c r="H53" s="10">
        <v>17.799999237060547</v>
      </c>
      <c r="I53" s="10">
        <v>2.8089888844431643E-2</v>
      </c>
      <c r="J53" s="10">
        <v>2.7702603720422308E-2</v>
      </c>
      <c r="K53" s="10">
        <v>0.78999900817871094</v>
      </c>
      <c r="L53" s="10">
        <v>0.23999977111816406</v>
      </c>
      <c r="M53" s="10">
        <v>0.24000167846679688</v>
      </c>
      <c r="N53" s="10">
        <v>4.4121698964561612E-2</v>
      </c>
      <c r="O53" s="10">
        <v>0.30379756003930591</v>
      </c>
      <c r="P53" s="10">
        <v>0.30379997440769507</v>
      </c>
      <c r="Q53" s="10">
        <v>0.3531653405970735</v>
      </c>
      <c r="R53" s="10">
        <v>0.40973031488319894</v>
      </c>
      <c r="S53" s="10">
        <v>-4.3620531107046341E-3</v>
      </c>
      <c r="T53" s="10">
        <v>-78.123203651168268</v>
      </c>
      <c r="U53" s="10">
        <v>-71.360595107352594</v>
      </c>
      <c r="V53" s="10">
        <v>-35.290363885357792</v>
      </c>
      <c r="W53" s="10">
        <v>-66.222213244702743</v>
      </c>
      <c r="X53" s="10">
        <v>-0.90999984741210938</v>
      </c>
      <c r="Y53" s="10">
        <v>-0.55555534362792969</v>
      </c>
      <c r="Z53" s="10">
        <v>3340700</v>
      </c>
      <c r="AA53" s="10">
        <v>-14773700</v>
      </c>
      <c r="AB53" s="10">
        <v>-45.064369403463331</v>
      </c>
      <c r="AC53" s="10">
        <v>9.7522538383740578</v>
      </c>
      <c r="AD53" s="10">
        <v>36.936163206081474</v>
      </c>
      <c r="AE53" s="10">
        <v>80.202575600839154</v>
      </c>
      <c r="AF53" s="10">
        <v>-55.289242874637708</v>
      </c>
      <c r="AG53" s="10">
        <v>0.75928592681884766</v>
      </c>
      <c r="AH53" s="10">
        <v>30.464677692585198</v>
      </c>
      <c r="AI53" s="10">
        <v>-21.283006264267527</v>
      </c>
      <c r="AJ53" s="10">
        <v>18.226666132609051</v>
      </c>
      <c r="AK53" s="10">
        <v>18.792499780654907</v>
      </c>
      <c r="AL53" s="10">
        <v>19.269499683380126</v>
      </c>
      <c r="AM53" s="10">
        <v>0.89950571472119589</v>
      </c>
      <c r="AN53" s="10">
        <v>26.253320093154908</v>
      </c>
      <c r="AO53" s="10">
        <v>21.068511112822517</v>
      </c>
      <c r="AP53" s="10">
        <v>17.470488253937734</v>
      </c>
      <c r="AQ53" s="10">
        <v>-0.15128480826137261</v>
      </c>
      <c r="AR53" s="10">
        <v>4.5328470912879303E-2</v>
      </c>
      <c r="AS53" s="10">
        <v>0.18672113536959467</v>
      </c>
      <c r="AT53" s="10">
        <v>-71.320958885642227</v>
      </c>
      <c r="AU53" s="10">
        <v>-76.500745450792138</v>
      </c>
      <c r="AV53" s="10">
        <v>43.952929352414088</v>
      </c>
      <c r="AW53" s="10">
        <v>37.075897099933613</v>
      </c>
      <c r="AX53" s="10">
        <v>-80.481149184007933</v>
      </c>
      <c r="AY53" s="10">
        <v>81.512367196932189</v>
      </c>
      <c r="AZ53" s="10">
        <v>18.676596410863851</v>
      </c>
      <c r="BA53" s="10">
        <v>-2.0579081393655607E-2</v>
      </c>
      <c r="BB53" s="10">
        <v>-59.439015783874254</v>
      </c>
      <c r="BC53" s="10">
        <v>18.861189389689095</v>
      </c>
      <c r="BD53" s="10">
        <v>19.409428737278958</v>
      </c>
      <c r="BE53" s="10">
        <v>-6.0624565380944476E-2</v>
      </c>
      <c r="BF53" s="10">
        <v>19.695634434734036</v>
      </c>
      <c r="BG53" s="10">
        <v>20.942113742048665</v>
      </c>
      <c r="BH53" s="10">
        <v>-0.14437784782184013</v>
      </c>
      <c r="BI53" s="10">
        <v>-70.689030140533902</v>
      </c>
      <c r="BJ53" s="10">
        <v>25.089240675141177</v>
      </c>
      <c r="BK53" s="10">
        <v>-0.37099681536222612</v>
      </c>
      <c r="BL53" s="10">
        <v>-0.83444504504494077</v>
      </c>
      <c r="BM53" s="10">
        <v>-0.82174440686163364</v>
      </c>
      <c r="BN53" s="10">
        <v>-1.2700638183307134E-2</v>
      </c>
      <c r="BO53" s="10">
        <v>-76.552979130750671</v>
      </c>
      <c r="BP53" s="10">
        <v>80.00768348692192</v>
      </c>
      <c r="BQ53" s="10">
        <v>1785555.5555555555</v>
      </c>
      <c r="BR53" s="10">
        <v>2117760</v>
      </c>
      <c r="BS53" s="10">
        <v>2986952</v>
      </c>
      <c r="BT53">
        <v>0.87095830740510283</v>
      </c>
      <c r="BU53">
        <v>0.57746864611665161</v>
      </c>
      <c r="BV53" s="10">
        <v>37.184065309809831</v>
      </c>
      <c r="BW53" s="10">
        <v>23.888725349935864</v>
      </c>
      <c r="BX53" s="10">
        <v>23.888725349935864</v>
      </c>
      <c r="BY53" s="10">
        <v>23.722909745667806</v>
      </c>
      <c r="BZ53" s="10">
        <v>-83.544738594639412</v>
      </c>
      <c r="CA53" s="10">
        <v>79.934169063325626</v>
      </c>
      <c r="CB53" s="10">
        <v>0</v>
      </c>
      <c r="CC53" s="10">
        <v>0</v>
      </c>
      <c r="CD53" s="10">
        <v>0</v>
      </c>
      <c r="CE53" s="10">
        <v>0</v>
      </c>
      <c r="CF53" s="10">
        <v>0</v>
      </c>
      <c r="CG53" s="10">
        <v>0</v>
      </c>
      <c r="CH53" s="10">
        <v>0</v>
      </c>
      <c r="CI53" s="10">
        <v>0</v>
      </c>
      <c r="CJ53" s="10">
        <v>0</v>
      </c>
      <c r="CK53" s="10">
        <v>0</v>
      </c>
      <c r="CL53" s="10">
        <v>0</v>
      </c>
      <c r="CM53" s="10">
        <v>0</v>
      </c>
      <c r="CN53" s="10">
        <v>0</v>
      </c>
      <c r="CO53" s="10">
        <v>0</v>
      </c>
      <c r="CP53" s="10">
        <v>0</v>
      </c>
      <c r="CQ53" s="10">
        <v>0</v>
      </c>
      <c r="CR53" s="10">
        <v>0</v>
      </c>
      <c r="CS53" s="10">
        <v>0</v>
      </c>
      <c r="CT53" s="10">
        <v>0</v>
      </c>
      <c r="CU53" s="10">
        <v>0</v>
      </c>
      <c r="CV53" s="10">
        <v>0</v>
      </c>
      <c r="CW53" s="10">
        <v>0</v>
      </c>
      <c r="CX53" s="10" t="s">
        <v>137</v>
      </c>
      <c r="CY53" s="1" t="str">
        <f>VLOOKUP(bovespa_diario_last_date_1[[#This Row],[Stock]],Patterns!H:J,2,0)</f>
        <v>CDLBELTHOLD_Bear</v>
      </c>
      <c r="CZ53" s="5">
        <f>IF(RIGHT(bovespa_diario_last_date_1[[#This Row],[PATTERN]],4)="Bull",1,IF(RIGHT(bovespa_diario_last_date_1[[#This Row],[PATTERN]],4)="Bear",-1,0))</f>
        <v>-1</v>
      </c>
    </row>
    <row r="54" spans="1:104" x14ac:dyDescent="0.25">
      <c r="A54" s="4">
        <v>44491</v>
      </c>
      <c r="B54" s="10">
        <v>12.439999580383301</v>
      </c>
      <c r="C54" s="10">
        <v>11.890000343322754</v>
      </c>
      <c r="D54" s="10">
        <v>11.899999618530273</v>
      </c>
      <c r="E54" s="10">
        <v>12.270000457763672</v>
      </c>
      <c r="F54" s="10">
        <v>15618800</v>
      </c>
      <c r="G54" s="10">
        <v>12.270000457763672</v>
      </c>
      <c r="H54" s="10">
        <v>12.020000457763672</v>
      </c>
      <c r="I54" s="10">
        <v>2.0798668093105377E-2</v>
      </c>
      <c r="J54" s="10">
        <v>2.0585328839811248E-2</v>
      </c>
      <c r="K54" s="10">
        <v>0.37000083923339844</v>
      </c>
      <c r="L54" s="10">
        <v>9.9992752075195313E-3</v>
      </c>
      <c r="M54" s="10">
        <v>0.16999912261962891</v>
      </c>
      <c r="N54" s="10">
        <v>3.0616536041826254E-2</v>
      </c>
      <c r="O54" s="10">
        <v>2.7025006830354612E-2</v>
      </c>
      <c r="P54" s="10">
        <v>0.4594560460237026</v>
      </c>
      <c r="Q54" s="10">
        <v>0.35702928077262897</v>
      </c>
      <c r="R54" s="10">
        <v>0.29178121370134935</v>
      </c>
      <c r="S54" s="10">
        <v>-8.9249804700935326E-3</v>
      </c>
      <c r="T54" s="10">
        <v>-80.736661947143944</v>
      </c>
      <c r="U54" s="10">
        <v>-67.350727070145012</v>
      </c>
      <c r="V54" s="10">
        <v>-12.657846094484759</v>
      </c>
      <c r="W54" s="10">
        <v>37.149192084677992</v>
      </c>
      <c r="X54" s="10">
        <v>-0.23999977111816406</v>
      </c>
      <c r="Y54" s="10">
        <v>0.20333343082004124</v>
      </c>
      <c r="Z54" s="10">
        <v>15618800</v>
      </c>
      <c r="AA54" s="10">
        <v>407963000</v>
      </c>
      <c r="AB54" s="10">
        <v>-69.06301821724027</v>
      </c>
      <c r="AC54" s="10">
        <v>68.017347922493187</v>
      </c>
      <c r="AD54" s="10">
        <v>14.468195234167183</v>
      </c>
      <c r="AE54" s="10">
        <v>-51.673548823568574</v>
      </c>
      <c r="AF54" s="10">
        <v>-82.25724889328464</v>
      </c>
      <c r="AG54" s="10">
        <v>0.43500001089913504</v>
      </c>
      <c r="AH54" s="10">
        <v>79.117737873471128</v>
      </c>
      <c r="AI54" s="10">
        <v>-81.578654260437332</v>
      </c>
      <c r="AJ54" s="10">
        <v>12.250000317891439</v>
      </c>
      <c r="AK54" s="10">
        <v>12.56250011920929</v>
      </c>
      <c r="AL54" s="10">
        <v>12.420024490356445</v>
      </c>
      <c r="AM54" s="10">
        <v>0.28623400524644133</v>
      </c>
      <c r="AN54" s="10">
        <v>12.763923015594482</v>
      </c>
      <c r="AO54" s="10">
        <v>12.992492500849327</v>
      </c>
      <c r="AP54" s="10">
        <v>11.847556479863563</v>
      </c>
      <c r="AQ54" s="10">
        <v>-5.8882804900672041E-2</v>
      </c>
      <c r="AR54" s="10">
        <v>3.4429010769336466E-2</v>
      </c>
      <c r="AS54" s="10">
        <v>9.2184683039453888E-2</v>
      </c>
      <c r="AT54" s="10">
        <v>-83.522965647667661</v>
      </c>
      <c r="AU54" s="10">
        <v>-60.532790013046586</v>
      </c>
      <c r="AV54" s="10">
        <v>39.740553483794756</v>
      </c>
      <c r="AW54" s="10">
        <v>45.621015897597331</v>
      </c>
      <c r="AX54" s="10">
        <v>-88.370629512969018</v>
      </c>
      <c r="AY54" s="10">
        <v>-78.323313653682092</v>
      </c>
      <c r="AZ54" s="10">
        <v>12.433499160653588</v>
      </c>
      <c r="BA54" s="10">
        <v>-1.3325077163013814E-2</v>
      </c>
      <c r="BB54" s="10">
        <v>20.014689137017871</v>
      </c>
      <c r="BC54" s="10">
        <v>12.436416449268767</v>
      </c>
      <c r="BD54" s="10">
        <v>12.414357285410652</v>
      </c>
      <c r="BE54" s="10">
        <v>-1.1765022189191579E-2</v>
      </c>
      <c r="BF54" s="10">
        <v>12.419538538027684</v>
      </c>
      <c r="BG54" s="10">
        <v>12.564026981001835</v>
      </c>
      <c r="BH54" s="10">
        <v>-2.3963040934698702E-2</v>
      </c>
      <c r="BI54" s="10">
        <v>-1.4942637872188496</v>
      </c>
      <c r="BJ54" s="10">
        <v>12.295522077536189</v>
      </c>
      <c r="BK54" s="10">
        <v>-2.0800015338523288E-3</v>
      </c>
      <c r="BL54" s="10">
        <v>1.687791124108351E-2</v>
      </c>
      <c r="BM54" s="10">
        <v>3.1227052313366883E-2</v>
      </c>
      <c r="BN54" s="10">
        <v>-1.4349141072283373E-2</v>
      </c>
      <c r="BO54" s="10">
        <v>-87.582761183324436</v>
      </c>
      <c r="BP54" s="10">
        <v>-82.526048107527927</v>
      </c>
      <c r="BQ54" s="10">
        <v>10537922.222222222</v>
      </c>
      <c r="BR54" s="10">
        <v>11056165</v>
      </c>
      <c r="BS54" s="10">
        <v>11522587.5</v>
      </c>
      <c r="BT54">
        <v>0.48215176299776585</v>
      </c>
      <c r="BU54">
        <v>0.41267790413764627</v>
      </c>
      <c r="BV54" s="10">
        <v>43.846197297580822</v>
      </c>
      <c r="BW54" s="10">
        <v>37.972054961039056</v>
      </c>
      <c r="BX54" s="10">
        <v>37.972054961039056</v>
      </c>
      <c r="BY54" s="10">
        <v>49.442175857436801</v>
      </c>
      <c r="BZ54" s="10">
        <v>-88.097010579830481</v>
      </c>
      <c r="CA54" s="10">
        <v>-77.851860111615622</v>
      </c>
      <c r="CB54" s="10">
        <v>1</v>
      </c>
      <c r="CC54" s="10">
        <v>0</v>
      </c>
      <c r="CD54" s="10">
        <v>1</v>
      </c>
      <c r="CE54" s="10">
        <v>0</v>
      </c>
      <c r="CF54" s="10">
        <v>0</v>
      </c>
      <c r="CG54" s="10">
        <v>0</v>
      </c>
      <c r="CH54" s="10">
        <v>-1</v>
      </c>
      <c r="CI54" s="10">
        <v>0</v>
      </c>
      <c r="CJ54" s="10">
        <v>-1</v>
      </c>
      <c r="CK54" s="10">
        <v>-1</v>
      </c>
      <c r="CL54" s="10">
        <v>0</v>
      </c>
      <c r="CM54" s="10">
        <v>-1</v>
      </c>
      <c r="CN54" s="10">
        <v>0</v>
      </c>
      <c r="CO54" s="10">
        <v>0</v>
      </c>
      <c r="CP54" s="10">
        <v>0</v>
      </c>
      <c r="CQ54" s="10">
        <v>0</v>
      </c>
      <c r="CR54" s="10">
        <v>0</v>
      </c>
      <c r="CS54" s="10">
        <v>0</v>
      </c>
      <c r="CT54" s="10">
        <v>0</v>
      </c>
      <c r="CU54" s="10">
        <v>0</v>
      </c>
      <c r="CV54" s="10">
        <v>0</v>
      </c>
      <c r="CW54" s="10">
        <v>0</v>
      </c>
      <c r="CX54" s="10" t="s">
        <v>138</v>
      </c>
      <c r="CY54" s="1" t="str">
        <f>VLOOKUP(bovespa_diario_last_date_1[[#This Row],[Stock]],Patterns!H:J,2,0)</f>
        <v>CDLLONGLINE_Bear</v>
      </c>
      <c r="CZ54" s="5">
        <f>IF(RIGHT(bovespa_diario_last_date_1[[#This Row],[PATTERN]],4)="Bull",1,IF(RIGHT(bovespa_diario_last_date_1[[#This Row],[PATTERN]],4)="Bear",-1,0))</f>
        <v>-1</v>
      </c>
    </row>
    <row r="55" spans="1:104" x14ac:dyDescent="0.25">
      <c r="A55" s="4">
        <v>44491</v>
      </c>
      <c r="B55" s="10">
        <v>5.5100002288818359</v>
      </c>
      <c r="C55" s="10">
        <v>5.130000114440918</v>
      </c>
      <c r="D55" s="10">
        <v>5.4699997901916504</v>
      </c>
      <c r="E55" s="10">
        <v>5.380000114440918</v>
      </c>
      <c r="F55" s="10">
        <v>5556700</v>
      </c>
      <c r="G55" s="10">
        <v>5.380000114440918</v>
      </c>
      <c r="H55" s="10">
        <v>5.5900001525878906</v>
      </c>
      <c r="I55" s="10">
        <v>-3.7567089877404203E-2</v>
      </c>
      <c r="J55" s="10">
        <v>-3.8290919018349981E-2</v>
      </c>
      <c r="K55" s="10">
        <v>8.9999675750732422E-2</v>
      </c>
      <c r="L55" s="10">
        <v>0.25</v>
      </c>
      <c r="M55" s="10">
        <v>4.0000438690185547E-2</v>
      </c>
      <c r="N55" s="10">
        <v>1.6589802127519968E-2</v>
      </c>
      <c r="O55" s="10">
        <v>2.777787785507277</v>
      </c>
      <c r="P55" s="10">
        <v>0.44445092003412046</v>
      </c>
      <c r="Q55" s="10">
        <v>0.40560988013097099</v>
      </c>
      <c r="R55" s="10">
        <v>0.44419134358569762</v>
      </c>
      <c r="S55" s="10">
        <v>1.0809125997046504E-3</v>
      </c>
      <c r="T55" s="10">
        <v>-84.755140274254472</v>
      </c>
      <c r="U55" s="10">
        <v>-74.194304573516334</v>
      </c>
      <c r="V55" s="10">
        <v>20.579240538597446</v>
      </c>
      <c r="W55" s="10">
        <v>-37.873568415228277</v>
      </c>
      <c r="X55" s="10">
        <v>-0.32401180267333984</v>
      </c>
      <c r="Y55" s="10">
        <v>0.10627508163452148</v>
      </c>
      <c r="Z55" s="10">
        <v>-5556700</v>
      </c>
      <c r="AA55" s="10">
        <v>186447500</v>
      </c>
      <c r="AB55" s="10">
        <v>-82.147210746474286</v>
      </c>
      <c r="AC55" s="10">
        <v>-16.906797541972658</v>
      </c>
      <c r="AD55" s="10">
        <v>29.729761608482256</v>
      </c>
      <c r="AE55" s="10">
        <v>-78.295443868578786</v>
      </c>
      <c r="AF55" s="10">
        <v>-83.6801806812922</v>
      </c>
      <c r="AG55" s="10">
        <v>0.32778903416224886</v>
      </c>
      <c r="AH55" s="10">
        <v>24.188841842514261</v>
      </c>
      <c r="AI55" s="10">
        <v>63.226060872913564</v>
      </c>
      <c r="AJ55" s="10">
        <v>5.5733334223429365</v>
      </c>
      <c r="AK55" s="10">
        <v>5.8078075051307678</v>
      </c>
      <c r="AL55" s="10">
        <v>5.7828776597976681</v>
      </c>
      <c r="AM55" s="10">
        <v>0.21873484708427171</v>
      </c>
      <c r="AN55" s="10">
        <v>6.6695090508460995</v>
      </c>
      <c r="AO55" s="10">
        <v>6.2203473539662113</v>
      </c>
      <c r="AP55" s="10">
        <v>5.3454079656291249</v>
      </c>
      <c r="AQ55" s="10">
        <v>-0.15619836833639567</v>
      </c>
      <c r="AR55" s="10">
        <v>6.4297673003651662E-3</v>
      </c>
      <c r="AS55" s="10">
        <v>0.15129827048212169</v>
      </c>
      <c r="AT55" s="10">
        <v>-46.487878328270682</v>
      </c>
      <c r="AU55" s="10">
        <v>38.769202955741981</v>
      </c>
      <c r="AV55" s="10">
        <v>11.3737697679733</v>
      </c>
      <c r="AW55" s="10">
        <v>32.895591362134851</v>
      </c>
      <c r="AX55" s="10">
        <v>-88.349103522976293</v>
      </c>
      <c r="AY55" s="10">
        <v>80.489529589730878</v>
      </c>
      <c r="AZ55" s="10">
        <v>5.7078002399180532</v>
      </c>
      <c r="BA55" s="10">
        <v>-6.0929390056565037E-2</v>
      </c>
      <c r="BB55" s="10">
        <v>13.928574358777565</v>
      </c>
      <c r="BC55" s="10">
        <v>5.7389050318768069</v>
      </c>
      <c r="BD55" s="10">
        <v>5.8243123629454505</v>
      </c>
      <c r="BE55" s="10">
        <v>-8.2585918039651346E-2</v>
      </c>
      <c r="BF55" s="10">
        <v>5.8766140944416376</v>
      </c>
      <c r="BG55" s="10">
        <v>6.1241697667198594</v>
      </c>
      <c r="BH55" s="10">
        <v>-0.13832149376381089</v>
      </c>
      <c r="BI55" s="10">
        <v>-67.429264971264928</v>
      </c>
      <c r="BJ55" s="10">
        <v>6.5829143693746639</v>
      </c>
      <c r="BK55" s="10">
        <v>-0.22359000545462834</v>
      </c>
      <c r="BL55" s="10">
        <v>-0.13770906256483073</v>
      </c>
      <c r="BM55" s="10">
        <v>-0.13420476456827429</v>
      </c>
      <c r="BN55" s="10">
        <v>-3.504297996556438E-3</v>
      </c>
      <c r="BO55" s="10">
        <v>-86.497756822161378</v>
      </c>
      <c r="BP55" s="10">
        <v>77.791569923333611</v>
      </c>
      <c r="BQ55" s="10">
        <v>4878977.777777778</v>
      </c>
      <c r="BR55" s="10">
        <v>4667395</v>
      </c>
      <c r="BS55" s="10">
        <v>5856165.5</v>
      </c>
      <c r="BT55">
        <v>0.13890660156499091</v>
      </c>
      <c r="BU55">
        <v>0.19053561997645363</v>
      </c>
      <c r="BV55" s="10">
        <v>21.929827129778776</v>
      </c>
      <c r="BW55" s="10">
        <v>24.593897354527943</v>
      </c>
      <c r="BX55" s="10">
        <v>24.593897354527943</v>
      </c>
      <c r="BY55" s="10">
        <v>35.358461792328683</v>
      </c>
      <c r="BZ55" s="10">
        <v>-86.776514481826851</v>
      </c>
      <c r="CA55" s="10">
        <v>87.454964535598492</v>
      </c>
      <c r="CB55" s="10">
        <v>1</v>
      </c>
      <c r="CC55" s="10">
        <v>0</v>
      </c>
      <c r="CD55" s="10">
        <v>1</v>
      </c>
      <c r="CE55" s="10">
        <v>0</v>
      </c>
      <c r="CF55" s="10">
        <v>0</v>
      </c>
      <c r="CG55" s="10">
        <v>0</v>
      </c>
      <c r="CH55" s="10">
        <v>-1</v>
      </c>
      <c r="CI55" s="10">
        <v>0</v>
      </c>
      <c r="CJ55" s="10">
        <v>-1</v>
      </c>
      <c r="CK55" s="10">
        <v>-1</v>
      </c>
      <c r="CL55" s="10">
        <v>0</v>
      </c>
      <c r="CM55" s="10">
        <v>-1</v>
      </c>
      <c r="CN55" s="10">
        <v>0</v>
      </c>
      <c r="CO55" s="10">
        <v>0</v>
      </c>
      <c r="CP55" s="10">
        <v>0</v>
      </c>
      <c r="CQ55" s="10">
        <v>0</v>
      </c>
      <c r="CR55" s="10">
        <v>0</v>
      </c>
      <c r="CS55" s="10">
        <v>0</v>
      </c>
      <c r="CT55" s="10">
        <v>0</v>
      </c>
      <c r="CU55" s="10">
        <v>0</v>
      </c>
      <c r="CV55" s="10">
        <v>0</v>
      </c>
      <c r="CW55" s="10">
        <v>0</v>
      </c>
      <c r="CX55" s="10" t="s">
        <v>139</v>
      </c>
      <c r="CY55" s="1" t="str">
        <f>VLOOKUP(bovespa_diario_last_date_1[[#This Row],[Stock]],Patterns!H:J,2,0)</f>
        <v>CDLBELTHOLD_Bull</v>
      </c>
      <c r="CZ55" s="5">
        <f>IF(RIGHT(bovespa_diario_last_date_1[[#This Row],[PATTERN]],4)="Bull",1,IF(RIGHT(bovespa_diario_last_date_1[[#This Row],[PATTERN]],4)="Bear",-1,0))</f>
        <v>1</v>
      </c>
    </row>
    <row r="56" spans="1:104" x14ac:dyDescent="0.25">
      <c r="A56" s="4">
        <v>44491</v>
      </c>
      <c r="B56" s="10">
        <v>11.779999732971191</v>
      </c>
      <c r="C56" s="10">
        <v>10.939999580383301</v>
      </c>
      <c r="D56" s="10">
        <v>11.609999656677246</v>
      </c>
      <c r="E56" s="10">
        <v>11.529999732971191</v>
      </c>
      <c r="F56" s="10">
        <v>28702000</v>
      </c>
      <c r="G56" s="10">
        <v>11.529999732971191</v>
      </c>
      <c r="H56" s="10">
        <v>11.920000076293945</v>
      </c>
      <c r="I56" s="10">
        <v>-3.2718149398201057E-2</v>
      </c>
      <c r="J56" s="10">
        <v>-3.326535691621537E-2</v>
      </c>
      <c r="K56" s="10">
        <v>7.9999923706054688E-2</v>
      </c>
      <c r="L56" s="10">
        <v>0.59000015258789063</v>
      </c>
      <c r="M56" s="10">
        <v>0.17000007629394531</v>
      </c>
      <c r="N56" s="10">
        <v>6.9144274689862135E-3</v>
      </c>
      <c r="O56" s="10">
        <v>7.3750089407052428</v>
      </c>
      <c r="P56" s="10">
        <v>2.1250029802350809</v>
      </c>
      <c r="Q56" s="10">
        <v>0.35950804582164791</v>
      </c>
      <c r="R56" s="10">
        <v>0.35668168634127828</v>
      </c>
      <c r="S56" s="10">
        <v>-2.6531331221863397E-2</v>
      </c>
      <c r="T56" s="10">
        <v>-85.336889310077481</v>
      </c>
      <c r="U56" s="10">
        <v>-76.888253146656638</v>
      </c>
      <c r="V56" s="10">
        <v>54.863079737420904</v>
      </c>
      <c r="W56" s="10">
        <v>49.935030321715182</v>
      </c>
      <c r="X56" s="10">
        <v>-0.78999996185302734</v>
      </c>
      <c r="Y56" s="10">
        <v>0.49666669633653426</v>
      </c>
      <c r="Z56" s="10">
        <v>-28702000</v>
      </c>
      <c r="AA56" s="10">
        <v>107125500</v>
      </c>
      <c r="AB56" s="10">
        <v>-85.951037450738482</v>
      </c>
      <c r="AC56" s="10">
        <v>-22.146184348827706</v>
      </c>
      <c r="AD56" s="10">
        <v>19.203195618792943</v>
      </c>
      <c r="AE56" s="10">
        <v>-82.168167078187494</v>
      </c>
      <c r="AF56" s="10">
        <v>79.293878693415962</v>
      </c>
      <c r="AG56" s="10">
        <v>0.4878572736467634</v>
      </c>
      <c r="AH56" s="10">
        <v>79.583171914599092</v>
      </c>
      <c r="AI56" s="10">
        <v>70.180772347269922</v>
      </c>
      <c r="AJ56" s="10">
        <v>11.946666717529297</v>
      </c>
      <c r="AK56" s="10">
        <v>12.330000042915344</v>
      </c>
      <c r="AL56" s="10">
        <v>12.067000055313111</v>
      </c>
      <c r="AM56" s="10">
        <v>0.38306383765575897</v>
      </c>
      <c r="AN56" s="10">
        <v>12.636220850944518</v>
      </c>
      <c r="AO56" s="10">
        <v>12.833127730624629</v>
      </c>
      <c r="AP56" s="10">
        <v>11.300872380001593</v>
      </c>
      <c r="AQ56" s="10">
        <v>-0.11302064421797095</v>
      </c>
      <c r="AR56" s="10">
        <v>1.987227738734337E-2</v>
      </c>
      <c r="AS56" s="10">
        <v>0.12697897933201568</v>
      </c>
      <c r="AT56" s="10">
        <v>-32.790089189721456</v>
      </c>
      <c r="AU56" s="10">
        <v>71.93906035650113</v>
      </c>
      <c r="AV56" s="10">
        <v>14.126905395991855</v>
      </c>
      <c r="AW56" s="10">
        <v>36.999428473580409</v>
      </c>
      <c r="AX56" s="10">
        <v>-88.886287081207897</v>
      </c>
      <c r="AY56" s="10">
        <v>46.154982623513369</v>
      </c>
      <c r="AZ56" s="10">
        <v>12.117683872661544</v>
      </c>
      <c r="BA56" s="10">
        <v>-5.0970004622793802E-2</v>
      </c>
      <c r="BB56" s="10">
        <v>58.009141196580792</v>
      </c>
      <c r="BC56" s="10">
        <v>12.124588168313988</v>
      </c>
      <c r="BD56" s="10">
        <v>12.097115051689089</v>
      </c>
      <c r="BE56" s="10">
        <v>-4.9186065208325587E-2</v>
      </c>
      <c r="BF56" s="10">
        <v>12.094916829021727</v>
      </c>
      <c r="BG56" s="10">
        <v>12.207469051786592</v>
      </c>
      <c r="BH56" s="10">
        <v>-5.8757097528641701E-2</v>
      </c>
      <c r="BI56" s="10">
        <v>18.637242583419901</v>
      </c>
      <c r="BJ56" s="10">
        <v>12.736564598318447</v>
      </c>
      <c r="BK56" s="10">
        <v>-0.10464569759676247</v>
      </c>
      <c r="BL56" s="10">
        <v>2.9671339292260512E-2</v>
      </c>
      <c r="BM56" s="10">
        <v>5.8796697254778742E-2</v>
      </c>
      <c r="BN56" s="10">
        <v>-2.9125357962518229E-2</v>
      </c>
      <c r="BO56" s="10">
        <v>-87.363053499510727</v>
      </c>
      <c r="BP56" s="10">
        <v>31.779995217555552</v>
      </c>
      <c r="BQ56" s="10">
        <v>15203400</v>
      </c>
      <c r="BR56" s="10">
        <v>14309470</v>
      </c>
      <c r="BS56" s="10">
        <v>11707074.5</v>
      </c>
      <c r="BT56">
        <v>0.88786718760277306</v>
      </c>
      <c r="BU56">
        <v>1.0058045476177666</v>
      </c>
      <c r="BV56" s="10">
        <v>29.797980041239178</v>
      </c>
      <c r="BW56" s="10">
        <v>45.310990779570226</v>
      </c>
      <c r="BX56" s="10">
        <v>45.310990779570226</v>
      </c>
      <c r="BY56" s="10">
        <v>56.685128534349928</v>
      </c>
      <c r="BZ56" s="10">
        <v>-88.073426170890329</v>
      </c>
      <c r="CA56" s="10">
        <v>83.553862827103146</v>
      </c>
      <c r="CB56" s="10">
        <v>1</v>
      </c>
      <c r="CC56" s="10">
        <v>0</v>
      </c>
      <c r="CD56" s="10">
        <v>1</v>
      </c>
      <c r="CE56" s="10">
        <v>1</v>
      </c>
      <c r="CF56" s="10">
        <v>0</v>
      </c>
      <c r="CG56" s="10">
        <v>1</v>
      </c>
      <c r="CH56" s="10">
        <v>-1</v>
      </c>
      <c r="CI56" s="10">
        <v>0</v>
      </c>
      <c r="CJ56" s="10">
        <v>-1</v>
      </c>
      <c r="CK56" s="10">
        <v>-1</v>
      </c>
      <c r="CL56" s="10">
        <v>0</v>
      </c>
      <c r="CM56" s="10">
        <v>-1</v>
      </c>
      <c r="CN56" s="10">
        <v>0</v>
      </c>
      <c r="CO56" s="10">
        <v>0</v>
      </c>
      <c r="CP56" s="10">
        <v>0</v>
      </c>
      <c r="CQ56" s="10">
        <v>0</v>
      </c>
      <c r="CR56" s="10">
        <v>0</v>
      </c>
      <c r="CS56" s="10">
        <v>0</v>
      </c>
      <c r="CT56" s="10">
        <v>0</v>
      </c>
      <c r="CU56" s="10">
        <v>0</v>
      </c>
      <c r="CV56" s="10">
        <v>0</v>
      </c>
      <c r="CW56" s="10">
        <v>0</v>
      </c>
      <c r="CX56" s="10" t="s">
        <v>140</v>
      </c>
      <c r="CY56" s="1" t="str">
        <f>VLOOKUP(bovespa_diario_last_date_1[[#This Row],[Stock]],Patterns!H:J,2,0)</f>
        <v>CDLRICKSHAWMAN_Bull</v>
      </c>
      <c r="CZ56" s="5">
        <f>IF(RIGHT(bovespa_diario_last_date_1[[#This Row],[PATTERN]],4)="Bull",1,IF(RIGHT(bovespa_diario_last_date_1[[#This Row],[PATTERN]],4)="Bear",-1,0))</f>
        <v>1</v>
      </c>
    </row>
    <row r="57" spans="1:104" x14ac:dyDescent="0.25">
      <c r="A57" s="4">
        <v>44491</v>
      </c>
      <c r="B57" s="10">
        <v>20.600000381469727</v>
      </c>
      <c r="C57" s="10">
        <v>18.899999618530273</v>
      </c>
      <c r="D57" s="10">
        <v>20.399999618530273</v>
      </c>
      <c r="E57" s="10">
        <v>19.780000686645508</v>
      </c>
      <c r="F57" s="10">
        <v>4886700</v>
      </c>
      <c r="G57" s="10">
        <v>19.780000686645508</v>
      </c>
      <c r="H57" s="10">
        <v>20.579999923706055</v>
      </c>
      <c r="I57" s="10">
        <v>-3.8872655006136791E-2</v>
      </c>
      <c r="J57" s="10">
        <v>-3.9648365790018472E-2</v>
      </c>
      <c r="K57" s="10">
        <v>0.61999893188476563</v>
      </c>
      <c r="L57" s="10">
        <v>0.88000106811523438</v>
      </c>
      <c r="M57" s="10">
        <v>0.20000076293945313</v>
      </c>
      <c r="N57" s="10">
        <v>3.0861071536871072E-2</v>
      </c>
      <c r="O57" s="10">
        <v>1.4193590067003428</v>
      </c>
      <c r="P57" s="10">
        <v>0.32258243144300403</v>
      </c>
      <c r="Q57" s="10">
        <v>0.42950704746755297</v>
      </c>
      <c r="R57" s="10">
        <v>0.54755010292677908</v>
      </c>
      <c r="S57" s="10">
        <v>-0.14296597015206153</v>
      </c>
      <c r="T57" s="10">
        <v>-84.515843154614259</v>
      </c>
      <c r="U57" s="10">
        <v>-81.347321808359254</v>
      </c>
      <c r="V57" s="10">
        <v>-65.175462434058957</v>
      </c>
      <c r="W57" s="10">
        <v>-56.598029094955592</v>
      </c>
      <c r="X57" s="10">
        <v>-4.1599998474121094</v>
      </c>
      <c r="Y57" s="10">
        <v>-0.52222209506564665</v>
      </c>
      <c r="Z57" s="10">
        <v>-4886700</v>
      </c>
      <c r="AA57" s="10">
        <v>-98114600</v>
      </c>
      <c r="AB57" s="10">
        <v>-85.817816140299172</v>
      </c>
      <c r="AC57" s="10">
        <v>-74.480113075824462</v>
      </c>
      <c r="AD57" s="10">
        <v>23.183872270875579</v>
      </c>
      <c r="AE57" s="10">
        <v>86.28239329399949</v>
      </c>
      <c r="AF57" s="10">
        <v>-73.170741050695057</v>
      </c>
      <c r="AG57" s="10">
        <v>1.1757142203194755</v>
      </c>
      <c r="AH57" s="10">
        <v>63.935841793375481</v>
      </c>
      <c r="AI57" s="10">
        <v>53.445425570344867</v>
      </c>
      <c r="AJ57" s="10">
        <v>20.726666768391926</v>
      </c>
      <c r="AK57" s="10">
        <v>22.588749885559082</v>
      </c>
      <c r="AL57" s="10">
        <v>23.130499839782715</v>
      </c>
      <c r="AM57" s="10">
        <v>1.3130697889657055</v>
      </c>
      <c r="AN57" s="10">
        <v>30.455356159210204</v>
      </c>
      <c r="AO57" s="10">
        <v>25.756639417714126</v>
      </c>
      <c r="AP57" s="10">
        <v>20.504360261851303</v>
      </c>
      <c r="AQ57" s="10">
        <v>-0.30215563819993968</v>
      </c>
      <c r="AR57" s="10">
        <v>-3.6620806373118472E-2</v>
      </c>
      <c r="AS57" s="10">
        <v>0.22707158047788051</v>
      </c>
      <c r="AT57" s="10">
        <v>79.449445564228327</v>
      </c>
      <c r="AU57" s="10">
        <v>-18.15029799393589</v>
      </c>
      <c r="AV57" s="10">
        <v>5.6030385940932916</v>
      </c>
      <c r="AW57" s="10">
        <v>24.922024454637125</v>
      </c>
      <c r="AX57" s="10">
        <v>-88.187815635496065</v>
      </c>
      <c r="AY57" s="10">
        <v>-72.659592981453798</v>
      </c>
      <c r="AZ57" s="10">
        <v>22.055906888034968</v>
      </c>
      <c r="BA57" s="10">
        <v>-0.11506097686467937</v>
      </c>
      <c r="BB57" s="10">
        <v>-67.281307005951604</v>
      </c>
      <c r="BC57" s="10">
        <v>22.417099719171141</v>
      </c>
      <c r="BD57" s="10">
        <v>23.166208153990588</v>
      </c>
      <c r="BE57" s="10">
        <v>-0.17119349594518887</v>
      </c>
      <c r="BF57" s="10">
        <v>23.495341856609539</v>
      </c>
      <c r="BG57" s="10">
        <v>24.809152796086643</v>
      </c>
      <c r="BH57" s="10">
        <v>-0.2542543950889028</v>
      </c>
      <c r="BI57" s="10">
        <v>-56.234355409238894</v>
      </c>
      <c r="BJ57" s="10">
        <v>29.873754204854571</v>
      </c>
      <c r="BK57" s="10">
        <v>-0.51030096905021205</v>
      </c>
      <c r="BL57" s="10">
        <v>-1.0782421374383979</v>
      </c>
      <c r="BM57" s="10">
        <v>-0.79244241609075594</v>
      </c>
      <c r="BN57" s="10">
        <v>-0.28579972134764198</v>
      </c>
      <c r="BO57" s="10">
        <v>-86.471315992960015</v>
      </c>
      <c r="BP57" s="10">
        <v>40.098768826107218</v>
      </c>
      <c r="BQ57" s="10">
        <v>2871088.888888889</v>
      </c>
      <c r="BR57" s="10">
        <v>2559995</v>
      </c>
      <c r="BS57" s="10">
        <v>2504932</v>
      </c>
      <c r="BT57">
        <v>0.70203716747033629</v>
      </c>
      <c r="BU57">
        <v>0.90887091576350731</v>
      </c>
      <c r="BV57" s="10">
        <v>14.473701959832116</v>
      </c>
      <c r="BW57" s="10">
        <v>9.1507973970178593</v>
      </c>
      <c r="BX57" s="10">
        <v>9.1507973970178593</v>
      </c>
      <c r="BY57" s="10">
        <v>12.484311676403321</v>
      </c>
      <c r="BZ57" s="10">
        <v>-88.792579444834288</v>
      </c>
      <c r="CA57" s="10">
        <v>83.815732810399894</v>
      </c>
      <c r="CB57" s="10">
        <v>0</v>
      </c>
      <c r="CC57" s="10">
        <v>0</v>
      </c>
      <c r="CD57" s="10">
        <v>0</v>
      </c>
      <c r="CE57" s="10">
        <v>0</v>
      </c>
      <c r="CF57" s="10">
        <v>0</v>
      </c>
      <c r="CG57" s="10">
        <v>0</v>
      </c>
      <c r="CH57" s="10">
        <v>0</v>
      </c>
      <c r="CI57" s="10">
        <v>0</v>
      </c>
      <c r="CJ57" s="10">
        <v>0</v>
      </c>
      <c r="CK57" s="10">
        <v>0</v>
      </c>
      <c r="CL57" s="10">
        <v>0</v>
      </c>
      <c r="CM57" s="10">
        <v>0</v>
      </c>
      <c r="CN57" s="10">
        <v>0</v>
      </c>
      <c r="CO57" s="10">
        <v>0</v>
      </c>
      <c r="CP57" s="10">
        <v>0</v>
      </c>
      <c r="CQ57" s="10">
        <v>0</v>
      </c>
      <c r="CR57" s="10">
        <v>0</v>
      </c>
      <c r="CS57" s="10">
        <v>0</v>
      </c>
      <c r="CT57" s="10">
        <v>0</v>
      </c>
      <c r="CU57" s="10">
        <v>0</v>
      </c>
      <c r="CV57" s="10">
        <v>0</v>
      </c>
      <c r="CW57" s="10">
        <v>0</v>
      </c>
      <c r="CX57" s="10" t="s">
        <v>141</v>
      </c>
      <c r="CY57" s="1" t="str">
        <f>VLOOKUP(bovespa_diario_last_date_1[[#This Row],[Stock]],Patterns!H:J,2,0)</f>
        <v>CDLCLOSINGMARUBOZU_Bull</v>
      </c>
      <c r="CZ57" s="5">
        <f>IF(RIGHT(bovespa_diario_last_date_1[[#This Row],[PATTERN]],4)="Bull",1,IF(RIGHT(bovespa_diario_last_date_1[[#This Row],[PATTERN]],4)="Bear",-1,0))</f>
        <v>1</v>
      </c>
    </row>
    <row r="58" spans="1:104" x14ac:dyDescent="0.25">
      <c r="A58" s="4">
        <v>44491</v>
      </c>
      <c r="B58" s="10">
        <v>13.640000343322754</v>
      </c>
      <c r="C58" s="10">
        <v>12.989999771118164</v>
      </c>
      <c r="D58" s="10">
        <v>13.600000381469727</v>
      </c>
      <c r="E58" s="10">
        <v>13.369999885559082</v>
      </c>
      <c r="F58" s="10">
        <v>17367200</v>
      </c>
      <c r="G58" s="10">
        <v>13.369999885559082</v>
      </c>
      <c r="H58" s="10">
        <v>13.779999732971191</v>
      </c>
      <c r="I58" s="10">
        <v>-2.9753255105739118E-2</v>
      </c>
      <c r="J58" s="10">
        <v>-3.0204863653192925E-2</v>
      </c>
      <c r="K58" s="10">
        <v>0.23000049591064453</v>
      </c>
      <c r="L58" s="10">
        <v>0.38000011444091797</v>
      </c>
      <c r="M58" s="10">
        <v>3.9999961853027344E-2</v>
      </c>
      <c r="N58" s="10">
        <v>1.7056024741076717E-2</v>
      </c>
      <c r="O58" s="10">
        <v>1.6521708483122075</v>
      </c>
      <c r="P58" s="10">
        <v>0.17391250264333072</v>
      </c>
      <c r="Q58" s="10">
        <v>0.30802734286748945</v>
      </c>
      <c r="R58" s="10">
        <v>0.37662280760889144</v>
      </c>
      <c r="S58" s="10">
        <v>-2.7297887581814815E-2</v>
      </c>
      <c r="T58" s="10">
        <v>-87.4432562322324</v>
      </c>
      <c r="U58" s="10">
        <v>-82.607129075514621</v>
      </c>
      <c r="V58" s="10">
        <v>48.568859260280931</v>
      </c>
      <c r="W58" s="10">
        <v>41.588740081730371</v>
      </c>
      <c r="X58" s="10">
        <v>-0.76000022888183594</v>
      </c>
      <c r="Y58" s="10">
        <v>0.56333340538872612</v>
      </c>
      <c r="Z58" s="10">
        <v>-17367200</v>
      </c>
      <c r="AA58" s="10">
        <v>331329159</v>
      </c>
      <c r="AB58" s="10">
        <v>-85.041114953689558</v>
      </c>
      <c r="AC58" s="10">
        <v>-13.048805254784241</v>
      </c>
      <c r="AD58" s="10">
        <v>31.487140873167739</v>
      </c>
      <c r="AE58" s="10">
        <v>-77.630838983563777</v>
      </c>
      <c r="AF58" s="10">
        <v>-74.574714610606321</v>
      </c>
      <c r="AG58" s="10">
        <v>0.5664285251072475</v>
      </c>
      <c r="AH58" s="10">
        <v>84.703561316162279</v>
      </c>
      <c r="AI58" s="10">
        <v>81.295219025740906</v>
      </c>
      <c r="AJ58" s="10">
        <v>13.996666590372721</v>
      </c>
      <c r="AK58" s="10">
        <v>14.620000004768372</v>
      </c>
      <c r="AL58" s="10">
        <v>14.331999921798706</v>
      </c>
      <c r="AM58" s="10">
        <v>0.50326936622439689</v>
      </c>
      <c r="AN58" s="10">
        <v>12.312719721794128</v>
      </c>
      <c r="AO58" s="10">
        <v>15.3385386542475</v>
      </c>
      <c r="AP58" s="10">
        <v>13.325461189349912</v>
      </c>
      <c r="AQ58" s="10">
        <v>-0.14723551125940057</v>
      </c>
      <c r="AR58" s="10">
        <v>3.3312413306207877E-3</v>
      </c>
      <c r="AS58" s="10">
        <v>0.14046033183657325</v>
      </c>
      <c r="AT58" s="10">
        <v>64.442565114794661</v>
      </c>
      <c r="AU58" s="10">
        <v>69.704539237628012</v>
      </c>
      <c r="AV58" s="10">
        <v>8.4454580446303993</v>
      </c>
      <c r="AW58" s="10">
        <v>32.567519161893159</v>
      </c>
      <c r="AX58" s="10">
        <v>-89.195995409079529</v>
      </c>
      <c r="AY58" s="10">
        <v>-71.337322016192232</v>
      </c>
      <c r="AZ58" s="10">
        <v>14.300912734148902</v>
      </c>
      <c r="BA58" s="10">
        <v>-6.9626990019296675E-2</v>
      </c>
      <c r="BB58" s="10">
        <v>62.623238794970433</v>
      </c>
      <c r="BC58" s="10">
        <v>14.324072596961194</v>
      </c>
      <c r="BD58" s="10">
        <v>14.235641291808086</v>
      </c>
      <c r="BE58" s="10">
        <v>-6.4745057117313987E-2</v>
      </c>
      <c r="BF58" s="10">
        <v>14.151060898893064</v>
      </c>
      <c r="BG58" s="10">
        <v>13.743849840350066</v>
      </c>
      <c r="BH58" s="10">
        <v>-2.796185175699057E-2</v>
      </c>
      <c r="BI58" s="10">
        <v>71.887823808845596</v>
      </c>
      <c r="BJ58" s="10">
        <v>12.375086835307084</v>
      </c>
      <c r="BK58" s="10">
        <v>7.4413841343903275E-2</v>
      </c>
      <c r="BL58" s="10">
        <v>0.17301169806813022</v>
      </c>
      <c r="BM58" s="10">
        <v>0.30528984294288414</v>
      </c>
      <c r="BN58" s="10">
        <v>-0.13227814487475392</v>
      </c>
      <c r="BO58" s="10">
        <v>-88.161930361992162</v>
      </c>
      <c r="BP58" s="10">
        <v>64.850455948767987</v>
      </c>
      <c r="BQ58" s="10">
        <v>15786633.333333334</v>
      </c>
      <c r="BR58" s="10">
        <v>12652835</v>
      </c>
      <c r="BS58" s="10">
        <v>10159296.720000001</v>
      </c>
      <c r="BT58">
        <v>0.10012056613295206</v>
      </c>
      <c r="BU58">
        <v>0.37259357290283157</v>
      </c>
      <c r="BV58" s="10">
        <v>16.450218416149543</v>
      </c>
      <c r="BW58" s="10">
        <v>36.280501578702427</v>
      </c>
      <c r="BX58" s="10">
        <v>36.280501578702427</v>
      </c>
      <c r="BY58" s="10">
        <v>56.477557120119805</v>
      </c>
      <c r="BZ58" s="10">
        <v>-87.071931582501534</v>
      </c>
      <c r="CA58" s="10">
        <v>81.08781657862896</v>
      </c>
      <c r="CB58" s="10">
        <v>1</v>
      </c>
      <c r="CC58" s="10">
        <v>0</v>
      </c>
      <c r="CD58" s="10">
        <v>1</v>
      </c>
      <c r="CE58" s="10">
        <v>1</v>
      </c>
      <c r="CF58" s="10">
        <v>0</v>
      </c>
      <c r="CG58" s="10">
        <v>1</v>
      </c>
      <c r="CH58" s="10">
        <v>0</v>
      </c>
      <c r="CI58" s="10">
        <v>0</v>
      </c>
      <c r="CJ58" s="10">
        <v>0</v>
      </c>
      <c r="CK58" s="10">
        <v>-1</v>
      </c>
      <c r="CL58" s="10">
        <v>0</v>
      </c>
      <c r="CM58" s="10">
        <v>-1</v>
      </c>
      <c r="CN58" s="10">
        <v>0</v>
      </c>
      <c r="CO58" s="10">
        <v>0</v>
      </c>
      <c r="CP58" s="10">
        <v>0</v>
      </c>
      <c r="CQ58" s="10">
        <v>0</v>
      </c>
      <c r="CR58" s="10">
        <v>1</v>
      </c>
      <c r="CS58" s="10">
        <v>1</v>
      </c>
      <c r="CT58" s="10">
        <v>0</v>
      </c>
      <c r="CU58" s="10">
        <v>0</v>
      </c>
      <c r="CV58" s="10">
        <v>0</v>
      </c>
      <c r="CW58" s="10">
        <v>0</v>
      </c>
      <c r="CX58" s="10" t="s">
        <v>142</v>
      </c>
      <c r="CY58" s="1" t="str">
        <f>VLOOKUP(bovespa_diario_last_date_1[[#This Row],[Stock]],Patterns!H:J,2,0)</f>
        <v>CDLSHORTLINE_Bull</v>
      </c>
      <c r="CZ58" s="5">
        <f>IF(RIGHT(bovespa_diario_last_date_1[[#This Row],[PATTERN]],4)="Bull",1,IF(RIGHT(bovespa_diario_last_date_1[[#This Row],[PATTERN]],4)="Bear",-1,0))</f>
        <v>1</v>
      </c>
    </row>
    <row r="59" spans="1:104" x14ac:dyDescent="0.25">
      <c r="A59" s="4">
        <v>44491</v>
      </c>
      <c r="B59" s="10">
        <v>24.590000152587891</v>
      </c>
      <c r="C59" s="10">
        <v>23.120000839233398</v>
      </c>
      <c r="D59" s="10">
        <v>23.829999923706055</v>
      </c>
      <c r="E59" s="10">
        <v>24.25</v>
      </c>
      <c r="F59" s="10">
        <v>14928700</v>
      </c>
      <c r="G59" s="10">
        <v>24.25</v>
      </c>
      <c r="H59" s="10">
        <v>24.129999160766602</v>
      </c>
      <c r="I59" s="10">
        <v>4.9730975303352576E-3</v>
      </c>
      <c r="J59" s="10">
        <v>4.9607725262209145E-3</v>
      </c>
      <c r="K59" s="10">
        <v>0.42000007629394531</v>
      </c>
      <c r="L59" s="10">
        <v>0.70999908447265625</v>
      </c>
      <c r="M59" s="10">
        <v>0.34000015258789063</v>
      </c>
      <c r="N59" s="10">
        <v>1.7470885064908764E-2</v>
      </c>
      <c r="O59" s="10">
        <v>1.6904737035708284</v>
      </c>
      <c r="P59" s="10">
        <v>0.80952402577644966</v>
      </c>
      <c r="Q59" s="10">
        <v>0.56126806479132807</v>
      </c>
      <c r="R59" s="10">
        <v>0.55249792647603313</v>
      </c>
      <c r="S59" s="10">
        <v>6.6197944226364536E-3</v>
      </c>
      <c r="T59" s="10">
        <v>-82.950700538644753</v>
      </c>
      <c r="U59" s="10">
        <v>-80.247600613859873</v>
      </c>
      <c r="V59" s="10">
        <v>60.969751790510323</v>
      </c>
      <c r="W59" s="10">
        <v>66.436868655741407</v>
      </c>
      <c r="X59" s="10">
        <v>-0.5</v>
      </c>
      <c r="Y59" s="10">
        <v>1.5511112213134766</v>
      </c>
      <c r="Z59" s="10">
        <v>14928700</v>
      </c>
      <c r="AA59" s="10">
        <v>354424000</v>
      </c>
      <c r="AB59" s="10">
        <v>-69.495088972946505</v>
      </c>
      <c r="AC59" s="10">
        <v>25.098468580724859</v>
      </c>
      <c r="AD59" s="10">
        <v>21.393214243447471</v>
      </c>
      <c r="AE59" s="10">
        <v>-85.127116042698731</v>
      </c>
      <c r="AF59" s="10">
        <v>-70.986747839199779</v>
      </c>
      <c r="AG59" s="10">
        <v>1.1878570829119002</v>
      </c>
      <c r="AH59" s="10">
        <v>72.717030942959752</v>
      </c>
      <c r="AI59" s="10">
        <v>-63.425233130342242</v>
      </c>
      <c r="AJ59" s="10">
        <v>24.34666633605957</v>
      </c>
      <c r="AK59" s="10">
        <v>25.15874981880188</v>
      </c>
      <c r="AL59" s="10">
        <v>24.394499778747559</v>
      </c>
      <c r="AM59" s="10">
        <v>1.0176675096922698</v>
      </c>
      <c r="AN59" s="10">
        <v>16.973499994277955</v>
      </c>
      <c r="AO59" s="10">
        <v>26.429834798132099</v>
      </c>
      <c r="AP59" s="10">
        <v>22.359164759363019</v>
      </c>
      <c r="AQ59" s="10">
        <v>-8.989009476833397E-2</v>
      </c>
      <c r="AR59" s="10">
        <v>7.7972587242762126E-2</v>
      </c>
      <c r="AS59" s="10">
        <v>0.16686835457538016</v>
      </c>
      <c r="AT59" s="10">
        <v>-85.900881340763988</v>
      </c>
      <c r="AU59" s="10">
        <v>-58.869206807952914</v>
      </c>
      <c r="AV59" s="10">
        <v>22.511281009825993</v>
      </c>
      <c r="AW59" s="10">
        <v>49.592620532070228</v>
      </c>
      <c r="AX59" s="10">
        <v>-87.642500088709923</v>
      </c>
      <c r="AY59" s="10">
        <v>-74.146403476674422</v>
      </c>
      <c r="AZ59" s="10">
        <v>24.708504852272988</v>
      </c>
      <c r="BA59" s="10">
        <v>-1.8907416588576816E-2</v>
      </c>
      <c r="BB59" s="10">
        <v>55.933583895533516</v>
      </c>
      <c r="BC59" s="10">
        <v>24.627063038955608</v>
      </c>
      <c r="BD59" s="10">
        <v>24.175923872735488</v>
      </c>
      <c r="BE59" s="10">
        <v>3.0546856603922319E-3</v>
      </c>
      <c r="BF59" s="10">
        <v>23.906718827278613</v>
      </c>
      <c r="BG59" s="10">
        <v>22.761397673468384</v>
      </c>
      <c r="BH59" s="10">
        <v>6.1385662949757371E-2</v>
      </c>
      <c r="BI59" s="10">
        <v>73.448520111369646</v>
      </c>
      <c r="BJ59" s="10">
        <v>18.01432701854932</v>
      </c>
      <c r="BK59" s="10">
        <v>0.25714115387425485</v>
      </c>
      <c r="BL59" s="10">
        <v>0.72034421167699492</v>
      </c>
      <c r="BM59" s="10">
        <v>0.88047711341626778</v>
      </c>
      <c r="BN59" s="10">
        <v>-0.16013290173927286</v>
      </c>
      <c r="BO59" s="10">
        <v>-88.125288177125583</v>
      </c>
      <c r="BP59" s="10">
        <v>-79.309313150656493</v>
      </c>
      <c r="BQ59" s="10">
        <v>9246244.444444444</v>
      </c>
      <c r="BR59" s="10">
        <v>10326900</v>
      </c>
      <c r="BS59" s="10">
        <v>13007376</v>
      </c>
      <c r="BT59">
        <v>0.61456903824015052</v>
      </c>
      <c r="BU59">
        <v>0.44561291384636248</v>
      </c>
      <c r="BV59" s="10">
        <v>53.831035146925799</v>
      </c>
      <c r="BW59" s="10">
        <v>55.7301772522639</v>
      </c>
      <c r="BX59" s="10">
        <v>55.7301772522639</v>
      </c>
      <c r="BY59" s="10">
        <v>62.082505712261245</v>
      </c>
      <c r="BZ59" s="10">
        <v>-88.069503639186593</v>
      </c>
      <c r="CA59" s="10">
        <v>-50.852046164641706</v>
      </c>
      <c r="CB59" s="10">
        <v>1</v>
      </c>
      <c r="CC59" s="10">
        <v>0</v>
      </c>
      <c r="CD59" s="10">
        <v>1</v>
      </c>
      <c r="CE59" s="10">
        <v>0</v>
      </c>
      <c r="CF59" s="10">
        <v>0</v>
      </c>
      <c r="CG59" s="10">
        <v>0</v>
      </c>
      <c r="CH59" s="10">
        <v>0</v>
      </c>
      <c r="CI59" s="10">
        <v>0</v>
      </c>
      <c r="CJ59" s="10">
        <v>0</v>
      </c>
      <c r="CK59" s="10">
        <v>-1</v>
      </c>
      <c r="CL59" s="10">
        <v>0</v>
      </c>
      <c r="CM59" s="10">
        <v>-1</v>
      </c>
      <c r="CN59" s="10">
        <v>0</v>
      </c>
      <c r="CO59" s="10">
        <v>0</v>
      </c>
      <c r="CP59" s="10">
        <v>0</v>
      </c>
      <c r="CQ59" s="10">
        <v>0</v>
      </c>
      <c r="CR59" s="10">
        <v>0</v>
      </c>
      <c r="CS59" s="10">
        <v>0</v>
      </c>
      <c r="CT59" s="10">
        <v>0</v>
      </c>
      <c r="CU59" s="10">
        <v>0</v>
      </c>
      <c r="CV59" s="10">
        <v>0</v>
      </c>
      <c r="CW59" s="10">
        <v>0</v>
      </c>
      <c r="CX59" s="10" t="s">
        <v>143</v>
      </c>
      <c r="CY59" s="1" t="str">
        <f>VLOOKUP(bovespa_diario_last_date_1[[#This Row],[Stock]],Patterns!H:J,2,0)</f>
        <v>CDLSHORTLINE_Bear</v>
      </c>
      <c r="CZ59" s="5">
        <f>IF(RIGHT(bovespa_diario_last_date_1[[#This Row],[PATTERN]],4)="Bull",1,IF(RIGHT(bovespa_diario_last_date_1[[#This Row],[PATTERN]],4)="Bear",-1,0))</f>
        <v>-1</v>
      </c>
    </row>
    <row r="60" spans="1:104" x14ac:dyDescent="0.25">
      <c r="A60" s="4">
        <v>44491</v>
      </c>
      <c r="B60" s="10">
        <v>35.169998168945313</v>
      </c>
      <c r="C60" s="10">
        <v>33.240001678466797</v>
      </c>
      <c r="D60" s="10">
        <v>35.150001525878906</v>
      </c>
      <c r="E60" s="10">
        <v>34.720001220703125</v>
      </c>
      <c r="F60" s="10">
        <v>3418800</v>
      </c>
      <c r="G60" s="10">
        <v>34.720001220703125</v>
      </c>
      <c r="H60" s="10">
        <v>35.450000762939453</v>
      </c>
      <c r="I60" s="10">
        <v>-2.0592370282809469E-2</v>
      </c>
      <c r="J60" s="10">
        <v>-2.0807349549051571E-2</v>
      </c>
      <c r="K60" s="10">
        <v>0.43000030517578125</v>
      </c>
      <c r="L60" s="10">
        <v>1.4799995422363281</v>
      </c>
      <c r="M60" s="10">
        <v>1.999664306640625E-2</v>
      </c>
      <c r="N60" s="10">
        <v>1.2308581315944386E-2</v>
      </c>
      <c r="O60" s="10">
        <v>3.4418569578254465</v>
      </c>
      <c r="P60" s="10">
        <v>4.6503788080410211E-2</v>
      </c>
      <c r="Q60" s="10">
        <v>0.35803067706300828</v>
      </c>
      <c r="R60" s="10">
        <v>0.43820318482337794</v>
      </c>
      <c r="S60" s="10">
        <v>-4.4501795302540358E-2</v>
      </c>
      <c r="T60" s="10">
        <v>-80.018242924411709</v>
      </c>
      <c r="U60" s="10">
        <v>-69.873995241494583</v>
      </c>
      <c r="V60" s="10">
        <v>-58.93402561800152</v>
      </c>
      <c r="W60" s="10">
        <v>-21.826434629780152</v>
      </c>
      <c r="X60" s="10">
        <v>-2.3299980163574219</v>
      </c>
      <c r="Y60" s="10">
        <v>-0.44999906751844621</v>
      </c>
      <c r="Z60" s="10">
        <v>-3418800</v>
      </c>
      <c r="AA60" s="10">
        <v>-8344000</v>
      </c>
      <c r="AB60" s="10">
        <v>-85.26481923420684</v>
      </c>
      <c r="AC60" s="10">
        <v>69.43914111258033</v>
      </c>
      <c r="AD60" s="10">
        <v>15.180600140876978</v>
      </c>
      <c r="AE60" s="10">
        <v>-80.425372475505426</v>
      </c>
      <c r="AF60" s="10">
        <v>-80.432695432584552</v>
      </c>
      <c r="AG60" s="10">
        <v>1.3964287894112724</v>
      </c>
      <c r="AH60" s="10">
        <v>78.612948063376649</v>
      </c>
      <c r="AI60" s="10">
        <v>65.378964572437326</v>
      </c>
      <c r="AJ60" s="10">
        <v>35.420000712076821</v>
      </c>
      <c r="AK60" s="10">
        <v>35.907500267028809</v>
      </c>
      <c r="AL60" s="10">
        <v>36.101000022888186</v>
      </c>
      <c r="AM60" s="10">
        <v>0.73353417886782468</v>
      </c>
      <c r="AN60" s="10">
        <v>38.957714900970458</v>
      </c>
      <c r="AO60" s="10">
        <v>37.568068380623835</v>
      </c>
      <c r="AP60" s="10">
        <v>34.633931665152538</v>
      </c>
      <c r="AQ60" s="10">
        <v>-8.202958121506175E-2</v>
      </c>
      <c r="AR60" s="10">
        <v>2.4789617662589478E-3</v>
      </c>
      <c r="AS60" s="10">
        <v>8.1275773901305831E-2</v>
      </c>
      <c r="AT60" s="10">
        <v>-58.841688285869843</v>
      </c>
      <c r="AU60" s="10">
        <v>-50.730383079955573</v>
      </c>
      <c r="AV60" s="10">
        <v>28.623963731568381</v>
      </c>
      <c r="AW60" s="10">
        <v>40.788932717553465</v>
      </c>
      <c r="AX60" s="10">
        <v>-82.630768468851016</v>
      </c>
      <c r="AY60" s="10">
        <v>-65.349781190772646</v>
      </c>
      <c r="AZ60" s="10">
        <v>35.759289793820059</v>
      </c>
      <c r="BA60" s="10">
        <v>-2.9933425592658647E-2</v>
      </c>
      <c r="BB60" s="10">
        <v>-48.202904310561202</v>
      </c>
      <c r="BC60" s="10">
        <v>35.878728592080797</v>
      </c>
      <c r="BD60" s="10">
        <v>36.192529244111078</v>
      </c>
      <c r="BE60" s="10">
        <v>-4.2411519920393964E-2</v>
      </c>
      <c r="BF60" s="10">
        <v>36.387250699737713</v>
      </c>
      <c r="BG60" s="10">
        <v>37.259497718445587</v>
      </c>
      <c r="BH60" s="10">
        <v>-7.3142177662948657E-2</v>
      </c>
      <c r="BI60" s="10">
        <v>-52.645253876142242</v>
      </c>
      <c r="BJ60" s="10">
        <v>37.895718173623287</v>
      </c>
      <c r="BK60" s="10">
        <v>-9.1466498884410163E-2</v>
      </c>
      <c r="BL60" s="10">
        <v>-0.50852210765691552</v>
      </c>
      <c r="BM60" s="10">
        <v>-0.48552966017775229</v>
      </c>
      <c r="BN60" s="10">
        <v>-2.2992447479163236E-2</v>
      </c>
      <c r="BO60" s="10">
        <v>-85.512571476218852</v>
      </c>
      <c r="BP60" s="10">
        <v>-74.610087875413186</v>
      </c>
      <c r="BQ60" s="10">
        <v>3483500</v>
      </c>
      <c r="BR60" s="10">
        <v>3319125</v>
      </c>
      <c r="BS60" s="10">
        <v>2530254.5</v>
      </c>
      <c r="BT60">
        <v>-1.8573274006028373E-2</v>
      </c>
      <c r="BU60">
        <v>3.0030505027680565E-2</v>
      </c>
      <c r="BV60" s="10">
        <v>30.142557805096157</v>
      </c>
      <c r="BW60" s="10">
        <v>31.766134581103699</v>
      </c>
      <c r="BX60" s="10">
        <v>31.766134581103699</v>
      </c>
      <c r="BY60" s="10">
        <v>29.282073683640775</v>
      </c>
      <c r="BZ60" s="10">
        <v>-85.773783465342717</v>
      </c>
      <c r="CA60" s="10">
        <v>-82.808786988839401</v>
      </c>
      <c r="CB60" s="10">
        <v>0</v>
      </c>
      <c r="CC60" s="10">
        <v>0</v>
      </c>
      <c r="CD60" s="10">
        <v>0</v>
      </c>
      <c r="CE60" s="10">
        <v>0</v>
      </c>
      <c r="CF60" s="10">
        <v>0</v>
      </c>
      <c r="CG60" s="10">
        <v>0</v>
      </c>
      <c r="CH60" s="10">
        <v>-1</v>
      </c>
      <c r="CI60" s="10">
        <v>0</v>
      </c>
      <c r="CJ60" s="10">
        <v>-1</v>
      </c>
      <c r="CK60" s="10">
        <v>0</v>
      </c>
      <c r="CL60" s="10">
        <v>0</v>
      </c>
      <c r="CM60" s="10">
        <v>0</v>
      </c>
      <c r="CN60" s="10">
        <v>0</v>
      </c>
      <c r="CO60" s="10">
        <v>0</v>
      </c>
      <c r="CP60" s="10">
        <v>0</v>
      </c>
      <c r="CQ60" s="10">
        <v>0</v>
      </c>
      <c r="CR60" s="10">
        <v>0</v>
      </c>
      <c r="CS60" s="10">
        <v>0</v>
      </c>
      <c r="CT60" s="10">
        <v>0</v>
      </c>
      <c r="CU60" s="10">
        <v>0</v>
      </c>
      <c r="CV60" s="10">
        <v>0</v>
      </c>
      <c r="CW60" s="10">
        <v>0</v>
      </c>
      <c r="CX60" s="10" t="s">
        <v>336</v>
      </c>
      <c r="CY60" s="1" t="str">
        <f>VLOOKUP(bovespa_diario_last_date_1[[#This Row],[Stock]],Patterns!H:J,2,0)</f>
        <v>CDLLONGLINE_Bull</v>
      </c>
      <c r="CZ60" s="5">
        <f>IF(RIGHT(bovespa_diario_last_date_1[[#This Row],[PATTERN]],4)="Bull",1,IF(RIGHT(bovespa_diario_last_date_1[[#This Row],[PATTERN]],4)="Bear",-1,0))</f>
        <v>1</v>
      </c>
    </row>
    <row r="61" spans="1:104" x14ac:dyDescent="0.25">
      <c r="A61" s="4">
        <v>44491</v>
      </c>
      <c r="B61" s="10">
        <v>23.719999313354492</v>
      </c>
      <c r="C61" s="10">
        <v>21.440000534057617</v>
      </c>
      <c r="D61" s="10">
        <v>23.590000152587891</v>
      </c>
      <c r="E61" s="10">
        <v>22.649999618530273</v>
      </c>
      <c r="F61" s="10">
        <v>6167100</v>
      </c>
      <c r="G61" s="10">
        <v>22.649999618530273</v>
      </c>
      <c r="H61" s="10">
        <v>24</v>
      </c>
      <c r="I61" s="10">
        <v>-5.6250015894571903E-2</v>
      </c>
      <c r="J61" s="10">
        <v>-5.7893995260833227E-2</v>
      </c>
      <c r="K61" s="10">
        <v>0.94000053405761719</v>
      </c>
      <c r="L61" s="10">
        <v>1.2099990844726563</v>
      </c>
      <c r="M61" s="10">
        <v>0.12999916076660156</v>
      </c>
      <c r="N61" s="10">
        <v>4.0657462746993708E-2</v>
      </c>
      <c r="O61" s="10">
        <v>1.2872323372515122</v>
      </c>
      <c r="P61" s="10">
        <v>0.13829690096605124</v>
      </c>
      <c r="Q61" s="10">
        <v>0.46908747314870386</v>
      </c>
      <c r="R61" s="10">
        <v>0.65616650532584164</v>
      </c>
      <c r="S61" s="10">
        <v>-0.12321349413843868</v>
      </c>
      <c r="T61" s="10">
        <v>-85.494225725242828</v>
      </c>
      <c r="U61" s="10">
        <v>-80.793233584562159</v>
      </c>
      <c r="V61" s="10">
        <v>13.693210254330745</v>
      </c>
      <c r="W61" s="10">
        <v>38.448814628342284</v>
      </c>
      <c r="X61" s="10">
        <v>-4.1499996185302734</v>
      </c>
      <c r="Y61" s="10">
        <v>1.2900002797444661</v>
      </c>
      <c r="Z61" s="10">
        <v>-6167100</v>
      </c>
      <c r="AA61" s="10">
        <v>-83574200</v>
      </c>
      <c r="AB61" s="10">
        <v>-86.425132547041898</v>
      </c>
      <c r="AC61" s="10">
        <v>-13.499891852928316</v>
      </c>
      <c r="AD61" s="10">
        <v>23.718392988423513</v>
      </c>
      <c r="AE61" s="10">
        <v>-83.836815936505175</v>
      </c>
      <c r="AF61" s="10">
        <v>-71.157738886672192</v>
      </c>
      <c r="AG61" s="10">
        <v>1.5449999400547572</v>
      </c>
      <c r="AH61" s="10">
        <v>74.399768002922386</v>
      </c>
      <c r="AI61" s="10">
        <v>74.184358688065089</v>
      </c>
      <c r="AJ61" s="10">
        <v>23.863333384195965</v>
      </c>
      <c r="AK61" s="10">
        <v>25.605000019073486</v>
      </c>
      <c r="AL61" s="10">
        <v>24.991999912261964</v>
      </c>
      <c r="AM61" s="10">
        <v>1.4381150914612508</v>
      </c>
      <c r="AN61" s="10">
        <v>29.469883966445924</v>
      </c>
      <c r="AO61" s="10">
        <v>27.868230095184465</v>
      </c>
      <c r="AP61" s="10">
        <v>22.115769729339462</v>
      </c>
      <c r="AQ61" s="10">
        <v>-0.23038545538804717</v>
      </c>
      <c r="AR61" s="10">
        <v>2.3586308970784738E-2</v>
      </c>
      <c r="AS61" s="10">
        <v>0.23017207050415528</v>
      </c>
      <c r="AT61" s="10">
        <v>57.13949794915834</v>
      </c>
      <c r="AU61" s="10">
        <v>75.144927791401969</v>
      </c>
      <c r="AV61" s="10">
        <v>5.800281988251129</v>
      </c>
      <c r="AW61" s="10">
        <v>33.07042731236163</v>
      </c>
      <c r="AX61" s="10">
        <v>-88.509873308809276</v>
      </c>
      <c r="AY61" s="10">
        <v>-63.277513246543123</v>
      </c>
      <c r="AZ61" s="10">
        <v>24.871960291708643</v>
      </c>
      <c r="BA61" s="10">
        <v>-9.8099810622537628E-2</v>
      </c>
      <c r="BB61" s="10">
        <v>-10.701773776975459</v>
      </c>
      <c r="BC61" s="10">
        <v>24.995956836778326</v>
      </c>
      <c r="BD61" s="10">
        <v>25.091652597957893</v>
      </c>
      <c r="BE61" s="10">
        <v>-0.10779925035539824</v>
      </c>
      <c r="BF61" s="10">
        <v>25.152192749581989</v>
      </c>
      <c r="BG61" s="10">
        <v>25.802181189414835</v>
      </c>
      <c r="BH61" s="10">
        <v>-0.13916916662134152</v>
      </c>
      <c r="BI61" s="10">
        <v>-3.3958974429633293</v>
      </c>
      <c r="BJ61" s="10">
        <v>28.782159026028065</v>
      </c>
      <c r="BK61" s="10">
        <v>-0.27073551923952299</v>
      </c>
      <c r="BL61" s="10">
        <v>-0.15623591280366256</v>
      </c>
      <c r="BM61" s="10">
        <v>4.2547442892757137E-2</v>
      </c>
      <c r="BN61" s="10">
        <v>-0.19878335569641969</v>
      </c>
      <c r="BO61" s="10">
        <v>-86.435410947100607</v>
      </c>
      <c r="BP61" s="10">
        <v>-14.47257917965764</v>
      </c>
      <c r="BQ61" s="10">
        <v>3066755.5555555555</v>
      </c>
      <c r="BR61" s="10">
        <v>2693865</v>
      </c>
      <c r="BS61" s="10">
        <v>2927324</v>
      </c>
      <c r="BT61">
        <v>1.0109525810846063</v>
      </c>
      <c r="BU61">
        <v>1.289312938844374</v>
      </c>
      <c r="BV61" s="10">
        <v>19.42213761444858</v>
      </c>
      <c r="BW61" s="10">
        <v>33.707565285895093</v>
      </c>
      <c r="BX61" s="10">
        <v>33.707565285895093</v>
      </c>
      <c r="BY61" s="10">
        <v>47.526675745683519</v>
      </c>
      <c r="BZ61" s="10">
        <v>-88.734679924731935</v>
      </c>
      <c r="CA61" s="10">
        <v>86.195377507308805</v>
      </c>
      <c r="CB61" s="10">
        <v>0</v>
      </c>
      <c r="CC61" s="10">
        <v>0</v>
      </c>
      <c r="CD61" s="10">
        <v>0</v>
      </c>
      <c r="CE61" s="10">
        <v>0</v>
      </c>
      <c r="CF61" s="10">
        <v>0</v>
      </c>
      <c r="CG61" s="10">
        <v>0</v>
      </c>
      <c r="CH61" s="10">
        <v>0</v>
      </c>
      <c r="CI61" s="10">
        <v>0</v>
      </c>
      <c r="CJ61" s="10">
        <v>0</v>
      </c>
      <c r="CK61" s="10">
        <v>0</v>
      </c>
      <c r="CL61" s="10">
        <v>0</v>
      </c>
      <c r="CM61" s="10">
        <v>0</v>
      </c>
      <c r="CN61" s="10">
        <v>0</v>
      </c>
      <c r="CO61" s="10">
        <v>0</v>
      </c>
      <c r="CP61" s="10">
        <v>0</v>
      </c>
      <c r="CQ61" s="10">
        <v>0</v>
      </c>
      <c r="CR61" s="10">
        <v>0</v>
      </c>
      <c r="CS61" s="10">
        <v>0</v>
      </c>
      <c r="CT61" s="10">
        <v>0</v>
      </c>
      <c r="CU61" s="10">
        <v>0</v>
      </c>
      <c r="CV61" s="10">
        <v>0</v>
      </c>
      <c r="CW61" s="10">
        <v>0</v>
      </c>
      <c r="CX61" s="10" t="s">
        <v>144</v>
      </c>
      <c r="CY61" s="1" t="str">
        <f>VLOOKUP(bovespa_diario_last_date_1[[#This Row],[Stock]],Patterns!H:J,2,0)</f>
        <v>CDLSPINNINGTOP_Bull</v>
      </c>
      <c r="CZ61" s="5">
        <f>IF(RIGHT(bovespa_diario_last_date_1[[#This Row],[PATTERN]],4)="Bull",1,IF(RIGHT(bovespa_diario_last_date_1[[#This Row],[PATTERN]],4)="Bear",-1,0))</f>
        <v>1</v>
      </c>
    </row>
    <row r="62" spans="1:104" x14ac:dyDescent="0.25">
      <c r="A62" s="4">
        <v>44491</v>
      </c>
      <c r="B62" s="10">
        <v>35.900001525878906</v>
      </c>
      <c r="C62" s="10">
        <v>33.310001373291016</v>
      </c>
      <c r="D62" s="10">
        <v>35.889999389648438</v>
      </c>
      <c r="E62" s="10">
        <v>35.060001373291016</v>
      </c>
      <c r="F62" s="10">
        <v>5713100</v>
      </c>
      <c r="G62" s="10">
        <v>35.060001373291016</v>
      </c>
      <c r="H62" s="10">
        <v>36.080001831054688</v>
      </c>
      <c r="I62" s="10">
        <v>-2.8270521230565504E-2</v>
      </c>
      <c r="J62" s="10">
        <v>-2.8677827281448721E-2</v>
      </c>
      <c r="K62" s="10">
        <v>0.82999801635742188</v>
      </c>
      <c r="L62" s="10">
        <v>1.75</v>
      </c>
      <c r="M62" s="10">
        <v>1.000213623046875E-2</v>
      </c>
      <c r="N62" s="10">
        <v>2.3396702112256189E-2</v>
      </c>
      <c r="O62" s="10">
        <v>2.1084387739625607</v>
      </c>
      <c r="P62" s="10">
        <v>1.2050795343300594E-2</v>
      </c>
      <c r="Q62" s="10">
        <v>0.37515239431840119</v>
      </c>
      <c r="R62" s="10">
        <v>0.38979365630945312</v>
      </c>
      <c r="S62" s="10">
        <v>-6.5411611406751932E-2</v>
      </c>
      <c r="T62" s="10">
        <v>-87.088926406858803</v>
      </c>
      <c r="U62" s="10">
        <v>-81.950669442942711</v>
      </c>
      <c r="V62" s="10">
        <v>-12.210765261312547</v>
      </c>
      <c r="W62" s="10">
        <v>-50.122906315139559</v>
      </c>
      <c r="X62" s="10">
        <v>-3.3799972534179688</v>
      </c>
      <c r="Y62" s="10">
        <v>0.35555564032660592</v>
      </c>
      <c r="Z62" s="10">
        <v>-5713100</v>
      </c>
      <c r="AA62" s="10">
        <v>-1711900</v>
      </c>
      <c r="AB62" s="10">
        <v>-87.918048387821997</v>
      </c>
      <c r="AC62" s="10">
        <v>-38.500802815616012</v>
      </c>
      <c r="AD62" s="10">
        <v>18.313585902800867</v>
      </c>
      <c r="AE62" s="10">
        <v>79.361575249400943</v>
      </c>
      <c r="AF62" s="10">
        <v>-56.1073675356946</v>
      </c>
      <c r="AG62" s="10">
        <v>1.7207142966134208</v>
      </c>
      <c r="AH62" s="10">
        <v>81.630353930798066</v>
      </c>
      <c r="AI62" s="10">
        <v>62.715634066332775</v>
      </c>
      <c r="AJ62" s="10">
        <v>36.373334248860679</v>
      </c>
      <c r="AK62" s="10">
        <v>38.512500286102295</v>
      </c>
      <c r="AL62" s="10">
        <v>38.53950023651123</v>
      </c>
      <c r="AM62" s="10">
        <v>1.4541787333858287</v>
      </c>
      <c r="AN62" s="10">
        <v>37.307745170593265</v>
      </c>
      <c r="AO62" s="10">
        <v>41.447857703282885</v>
      </c>
      <c r="AP62" s="10">
        <v>35.631142769739576</v>
      </c>
      <c r="AQ62" s="10">
        <v>-0.18219783456306959</v>
      </c>
      <c r="AR62" s="10">
        <v>-1.6290398576072507E-2</v>
      </c>
      <c r="AS62" s="10">
        <v>0.15092865496041691</v>
      </c>
      <c r="AT62" s="10">
        <v>78.92592396794825</v>
      </c>
      <c r="AU62" s="10">
        <v>31.950098208711832</v>
      </c>
      <c r="AV62" s="10">
        <v>9.1131745699276792</v>
      </c>
      <c r="AW62" s="10">
        <v>30.492253521894924</v>
      </c>
      <c r="AX62" s="10">
        <v>-89.033664682204289</v>
      </c>
      <c r="AY62" s="10">
        <v>32.257815851066837</v>
      </c>
      <c r="AZ62" s="10">
        <v>37.761591232358597</v>
      </c>
      <c r="BA62" s="10">
        <v>-7.7056182351597793E-2</v>
      </c>
      <c r="BB62" s="10">
        <v>-21.17154744464321</v>
      </c>
      <c r="BC62" s="10">
        <v>37.986853926931246</v>
      </c>
      <c r="BD62" s="10">
        <v>38.256781140548917</v>
      </c>
      <c r="BE62" s="10">
        <v>-9.1180252197401029E-2</v>
      </c>
      <c r="BF62" s="10">
        <v>38.344335273435156</v>
      </c>
      <c r="BG62" s="10">
        <v>38.782298965142964</v>
      </c>
      <c r="BH62" s="10">
        <v>-0.10616935099972996</v>
      </c>
      <c r="BI62" s="10">
        <v>-13.882643487118301</v>
      </c>
      <c r="BJ62" s="10">
        <v>37.643033181879844</v>
      </c>
      <c r="BK62" s="10">
        <v>-7.3674606600460713E-2</v>
      </c>
      <c r="BL62" s="10">
        <v>-0.35748134650390995</v>
      </c>
      <c r="BM62" s="10">
        <v>-3.1013317561817549E-2</v>
      </c>
      <c r="BN62" s="10">
        <v>-0.32646802894209237</v>
      </c>
      <c r="BO62" s="10">
        <v>-88.196058941821889</v>
      </c>
      <c r="BP62" s="10">
        <v>23.398090171565492</v>
      </c>
      <c r="BQ62" s="10">
        <v>3331011.111111111</v>
      </c>
      <c r="BR62" s="10">
        <v>2595110</v>
      </c>
      <c r="BS62" s="10">
        <v>3090830</v>
      </c>
      <c r="BT62">
        <v>0.71512487032632732</v>
      </c>
      <c r="BU62">
        <v>1.2014866421847246</v>
      </c>
      <c r="BV62" s="10">
        <v>23.553161885887675</v>
      </c>
      <c r="BW62" s="10">
        <v>25.482334463620457</v>
      </c>
      <c r="BX62" s="10">
        <v>25.482334463620457</v>
      </c>
      <c r="BY62" s="10">
        <v>44.81420850651326</v>
      </c>
      <c r="BZ62" s="10">
        <v>-86.321749397616685</v>
      </c>
      <c r="CA62" s="10">
        <v>79.502165023670003</v>
      </c>
      <c r="CB62" s="10">
        <v>0</v>
      </c>
      <c r="CC62" s="10">
        <v>0</v>
      </c>
      <c r="CD62" s="10">
        <v>0</v>
      </c>
      <c r="CE62" s="10">
        <v>0</v>
      </c>
      <c r="CF62" s="10">
        <v>0</v>
      </c>
      <c r="CG62" s="10">
        <v>0</v>
      </c>
      <c r="CH62" s="10">
        <v>0</v>
      </c>
      <c r="CI62" s="10">
        <v>0</v>
      </c>
      <c r="CJ62" s="10">
        <v>0</v>
      </c>
      <c r="CK62" s="10">
        <v>0</v>
      </c>
      <c r="CL62" s="10">
        <v>0</v>
      </c>
      <c r="CM62" s="10">
        <v>0</v>
      </c>
      <c r="CN62" s="10">
        <v>0</v>
      </c>
      <c r="CO62" s="10">
        <v>0</v>
      </c>
      <c r="CP62" s="10">
        <v>0</v>
      </c>
      <c r="CQ62" s="10">
        <v>0</v>
      </c>
      <c r="CR62" s="10">
        <v>0</v>
      </c>
      <c r="CS62" s="10">
        <v>0</v>
      </c>
      <c r="CT62" s="10">
        <v>0</v>
      </c>
      <c r="CU62" s="10">
        <v>0</v>
      </c>
      <c r="CV62" s="10">
        <v>0</v>
      </c>
      <c r="CW62" s="10">
        <v>0</v>
      </c>
      <c r="CX62" s="10" t="s">
        <v>145</v>
      </c>
      <c r="CY62" s="1" t="str">
        <f>VLOOKUP(bovespa_diario_last_date_1[[#This Row],[Stock]],Patterns!H:J,2,0)</f>
        <v>CDLSHOOTINGSTAR_Bear</v>
      </c>
      <c r="CZ62" s="5">
        <f>IF(RIGHT(bovespa_diario_last_date_1[[#This Row],[PATTERN]],4)="Bull",1,IF(RIGHT(bovespa_diario_last_date_1[[#This Row],[PATTERN]],4)="Bear",-1,0))</f>
        <v>-1</v>
      </c>
    </row>
    <row r="63" spans="1:104" x14ac:dyDescent="0.25">
      <c r="A63" s="4">
        <v>44491</v>
      </c>
      <c r="B63" s="10">
        <v>9.4200000762939453</v>
      </c>
      <c r="C63" s="10">
        <v>8.8500003814697266</v>
      </c>
      <c r="D63" s="10">
        <v>9.2299995422363281</v>
      </c>
      <c r="E63" s="10">
        <v>9.3000001907348633</v>
      </c>
      <c r="F63" s="10">
        <v>10084500</v>
      </c>
      <c r="G63" s="10">
        <v>9.3000001907348633</v>
      </c>
      <c r="H63" s="10">
        <v>9.3400001525878906</v>
      </c>
      <c r="I63" s="10">
        <v>-4.2826510920285221E-3</v>
      </c>
      <c r="J63" s="10">
        <v>-4.2918479094492231E-3</v>
      </c>
      <c r="K63" s="10">
        <v>7.0000648498535156E-2</v>
      </c>
      <c r="L63" s="10">
        <v>0.37999916076660156</v>
      </c>
      <c r="M63" s="10">
        <v>0.11999988555908203</v>
      </c>
      <c r="N63" s="10">
        <v>7.5553858075863992E-3</v>
      </c>
      <c r="O63" s="10">
        <v>5.4285091483767252</v>
      </c>
      <c r="P63" s="10">
        <v>1.714268197980954</v>
      </c>
      <c r="Q63" s="10">
        <v>0.37708028457191217</v>
      </c>
      <c r="R63" s="10">
        <v>0.3755549629297969</v>
      </c>
      <c r="S63" s="10">
        <v>-0.15599226993663959</v>
      </c>
      <c r="T63" s="10">
        <v>-86.534018136765312</v>
      </c>
      <c r="U63" s="10">
        <v>-85.865779438789261</v>
      </c>
      <c r="V63" s="10">
        <v>-81.508728531596034</v>
      </c>
      <c r="W63" s="10">
        <v>-65.140787449815377</v>
      </c>
      <c r="X63" s="10">
        <v>-1.75</v>
      </c>
      <c r="Y63" s="10">
        <v>-0.4677777820163303</v>
      </c>
      <c r="Z63" s="10">
        <v>-10084500</v>
      </c>
      <c r="AA63" s="10">
        <v>-48682437</v>
      </c>
      <c r="AB63" s="10">
        <v>-87.074832633294221</v>
      </c>
      <c r="AC63" s="10">
        <v>-82.102174416274892</v>
      </c>
      <c r="AD63" s="10">
        <v>39.22083763231506</v>
      </c>
      <c r="AE63" s="10">
        <v>-86.941012569774102</v>
      </c>
      <c r="AF63" s="10">
        <v>-66.394011482714248</v>
      </c>
      <c r="AG63" s="10">
        <v>0.40499993732997347</v>
      </c>
      <c r="AH63" s="10">
        <v>30.83189890736265</v>
      </c>
      <c r="AI63" s="10">
        <v>41.929551747290162</v>
      </c>
      <c r="AJ63" s="10">
        <v>9.4600000381469727</v>
      </c>
      <c r="AK63" s="10">
        <v>10.176249980926514</v>
      </c>
      <c r="AL63" s="10">
        <v>10.472999954223633</v>
      </c>
      <c r="AM63" s="10">
        <v>0.52140591732982333</v>
      </c>
      <c r="AN63" s="10">
        <v>9.4665381240844724</v>
      </c>
      <c r="AO63" s="10">
        <v>11.51581178888328</v>
      </c>
      <c r="AP63" s="10">
        <v>9.4301881195639865</v>
      </c>
      <c r="AQ63" s="10">
        <v>-0.23825930674237206</v>
      </c>
      <c r="AR63" s="10">
        <v>-1.3998701737535781E-2</v>
      </c>
      <c r="AS63" s="10">
        <v>0.19914290828180389</v>
      </c>
      <c r="AT63" s="10">
        <v>62.050136852352239</v>
      </c>
      <c r="AU63" s="10">
        <v>-78.198134920144028</v>
      </c>
      <c r="AV63" s="10">
        <v>1.8255565603247987</v>
      </c>
      <c r="AW63" s="10">
        <v>26.395811465499975</v>
      </c>
      <c r="AX63" s="10">
        <v>-88.405613709093203</v>
      </c>
      <c r="AY63" s="10">
        <v>-87.895039265965551</v>
      </c>
      <c r="AZ63" s="10">
        <v>10.018072277758579</v>
      </c>
      <c r="BA63" s="10">
        <v>-7.7212050784589856E-2</v>
      </c>
      <c r="BB63" s="10">
        <v>-82.050706231608203</v>
      </c>
      <c r="BC63" s="10">
        <v>10.117804181973371</v>
      </c>
      <c r="BD63" s="10">
        <v>10.130885776707926</v>
      </c>
      <c r="BE63" s="10">
        <v>-8.9342534293798528E-2</v>
      </c>
      <c r="BF63" s="10">
        <v>10.070466241296636</v>
      </c>
      <c r="BG63" s="10">
        <v>9.7965947189636999</v>
      </c>
      <c r="BH63" s="10">
        <v>-5.3397260004743825E-2</v>
      </c>
      <c r="BI63" s="10">
        <v>77.623336083758659</v>
      </c>
      <c r="BJ63" s="10">
        <v>9.6735175215279199</v>
      </c>
      <c r="BK63" s="10">
        <v>-4.0163153025004637E-2</v>
      </c>
      <c r="BL63" s="10">
        <v>4.7337940676735357E-2</v>
      </c>
      <c r="BM63" s="10">
        <v>0.28863370240808323</v>
      </c>
      <c r="BN63" s="10">
        <v>-0.24129576173134787</v>
      </c>
      <c r="BO63" s="10">
        <v>-87.753733791514051</v>
      </c>
      <c r="BP63" s="10">
        <v>-86.237853475256713</v>
      </c>
      <c r="BQ63" s="10">
        <v>8837122.222222222</v>
      </c>
      <c r="BR63" s="10">
        <v>11118840</v>
      </c>
      <c r="BS63" s="10">
        <v>9103631.5</v>
      </c>
      <c r="BT63">
        <v>0.14115203415893318</v>
      </c>
      <c r="BU63">
        <v>-9.3025891190088195E-2</v>
      </c>
      <c r="BV63" s="10">
        <v>18.442618305468972</v>
      </c>
      <c r="BW63" s="10">
        <v>10.793716479211227</v>
      </c>
      <c r="BX63" s="10">
        <v>10.793716479211227</v>
      </c>
      <c r="BY63" s="10">
        <v>8.7138412933702512</v>
      </c>
      <c r="BZ63" s="10">
        <v>-88.362024039899879</v>
      </c>
      <c r="CA63" s="10">
        <v>-86.026567148545539</v>
      </c>
      <c r="CB63" s="10">
        <v>0</v>
      </c>
      <c r="CC63" s="10">
        <v>0</v>
      </c>
      <c r="CD63" s="10">
        <v>0</v>
      </c>
      <c r="CE63" s="10">
        <v>1</v>
      </c>
      <c r="CF63" s="10">
        <v>0</v>
      </c>
      <c r="CG63" s="10">
        <v>1</v>
      </c>
      <c r="CH63" s="10">
        <v>0</v>
      </c>
      <c r="CI63" s="10">
        <v>0</v>
      </c>
      <c r="CJ63" s="10">
        <v>0</v>
      </c>
      <c r="CK63" s="10">
        <v>0</v>
      </c>
      <c r="CL63" s="10">
        <v>0</v>
      </c>
      <c r="CM63" s="10">
        <v>0</v>
      </c>
      <c r="CN63" s="10">
        <v>0</v>
      </c>
      <c r="CO63" s="10">
        <v>0</v>
      </c>
      <c r="CP63" s="10">
        <v>0</v>
      </c>
      <c r="CQ63" s="10">
        <v>0</v>
      </c>
      <c r="CR63" s="10">
        <v>0</v>
      </c>
      <c r="CS63" s="10">
        <v>0</v>
      </c>
      <c r="CT63" s="10">
        <v>0</v>
      </c>
      <c r="CU63" s="10">
        <v>0</v>
      </c>
      <c r="CV63" s="10">
        <v>0</v>
      </c>
      <c r="CW63" s="10">
        <v>0</v>
      </c>
      <c r="CX63" s="10" t="s">
        <v>146</v>
      </c>
      <c r="CY63" s="1" t="str">
        <f>VLOOKUP(bovespa_diario_last_date_1[[#This Row],[Stock]],Patterns!H:J,2,0)</f>
        <v>NO_PATTERN</v>
      </c>
      <c r="CZ63" s="5">
        <f>IF(RIGHT(bovespa_diario_last_date_1[[#This Row],[PATTERN]],4)="Bull",1,IF(RIGHT(bovespa_diario_last_date_1[[#This Row],[PATTERN]],4)="Bear",-1,0))</f>
        <v>0</v>
      </c>
    </row>
    <row r="64" spans="1:104" x14ac:dyDescent="0.25">
      <c r="A64" s="4">
        <v>44491</v>
      </c>
      <c r="B64" s="10">
        <v>52.080001831054688</v>
      </c>
      <c r="C64" s="10">
        <v>50</v>
      </c>
      <c r="D64" s="10">
        <v>50</v>
      </c>
      <c r="E64" s="10">
        <v>51.5</v>
      </c>
      <c r="F64" s="10">
        <v>3007600</v>
      </c>
      <c r="G64" s="10">
        <v>51.5</v>
      </c>
      <c r="H64" s="10">
        <v>50.639999389648438</v>
      </c>
      <c r="I64" s="10">
        <v>1.6982634690303033E-2</v>
      </c>
      <c r="J64" s="10">
        <v>1.6840041886525867E-2</v>
      </c>
      <c r="K64" s="10">
        <v>1.5</v>
      </c>
      <c r="L64" s="10">
        <v>0</v>
      </c>
      <c r="M64" s="10">
        <v>0.5800018310546875</v>
      </c>
      <c r="N64" s="10">
        <v>2.9556650246305417E-2</v>
      </c>
      <c r="O64" s="10">
        <v>0</v>
      </c>
      <c r="P64" s="10">
        <v>0.38666788736979169</v>
      </c>
      <c r="Q64" s="10">
        <v>0.35540719641037333</v>
      </c>
      <c r="R64" s="10">
        <v>0.36268489060827658</v>
      </c>
      <c r="S64" s="10">
        <v>-2.0183275134916495E-2</v>
      </c>
      <c r="T64" s="10">
        <v>-81.826467013765196</v>
      </c>
      <c r="U64" s="10">
        <v>-76.50952807033903</v>
      </c>
      <c r="V64" s="10">
        <v>29.442828782798212</v>
      </c>
      <c r="W64" s="10">
        <v>23.147699189499455</v>
      </c>
      <c r="X64" s="10">
        <v>-1.8199996948242188</v>
      </c>
      <c r="Y64" s="10">
        <v>1.6777771843804254</v>
      </c>
      <c r="Z64" s="10">
        <v>3007600</v>
      </c>
      <c r="AA64" s="10">
        <v>90033447</v>
      </c>
      <c r="AB64" s="10">
        <v>-78.710626976960768</v>
      </c>
      <c r="AC64" s="10">
        <v>-37.871046179554767</v>
      </c>
      <c r="AD64" s="10">
        <v>16.18595881162608</v>
      </c>
      <c r="AE64" s="10">
        <v>-48.908870639761744</v>
      </c>
      <c r="AF64" s="10">
        <v>-83.405502338478684</v>
      </c>
      <c r="AG64" s="10">
        <v>1.7085715702601842</v>
      </c>
      <c r="AH64" s="10">
        <v>58.495879506141975</v>
      </c>
      <c r="AI64" s="10">
        <v>-78.897485423599605</v>
      </c>
      <c r="AJ64" s="10">
        <v>51.379999796549477</v>
      </c>
      <c r="AK64" s="10">
        <v>53.064999103546143</v>
      </c>
      <c r="AL64" s="10">
        <v>52.512499427795412</v>
      </c>
      <c r="AM64" s="10">
        <v>1.493913287430565</v>
      </c>
      <c r="AN64" s="10">
        <v>58.586763610839846</v>
      </c>
      <c r="AO64" s="10">
        <v>55.500326002656543</v>
      </c>
      <c r="AP64" s="10">
        <v>49.52467285293428</v>
      </c>
      <c r="AQ64" s="10">
        <v>-7.7676233061292094E-2</v>
      </c>
      <c r="AR64" s="10">
        <v>3.8355866933314942E-2</v>
      </c>
      <c r="AS64" s="10">
        <v>0.11379487197974217</v>
      </c>
      <c r="AT64" s="10">
        <v>-57.193289113841274</v>
      </c>
      <c r="AU64" s="10">
        <v>-47.118233571229084</v>
      </c>
      <c r="AV64" s="10">
        <v>36.373850021398731</v>
      </c>
      <c r="AW64" s="10">
        <v>42.781516210577053</v>
      </c>
      <c r="AX64" s="10">
        <v>-87.450012975022133</v>
      </c>
      <c r="AY64" s="10">
        <v>45.695959491840313</v>
      </c>
      <c r="AZ64" s="10">
        <v>52.470960170721554</v>
      </c>
      <c r="BA64" s="10">
        <v>-1.8853595547991341E-2</v>
      </c>
      <c r="BB64" s="10">
        <v>-5.2575846521399505</v>
      </c>
      <c r="BC64" s="10">
        <v>52.585152175788764</v>
      </c>
      <c r="BD64" s="10">
        <v>52.907955066114312</v>
      </c>
      <c r="BE64" s="10">
        <v>-2.7338933322607992E-2</v>
      </c>
      <c r="BF64" s="10">
        <v>53.195623653088688</v>
      </c>
      <c r="BG64" s="10">
        <v>54.937027383782777</v>
      </c>
      <c r="BH64" s="10">
        <v>-6.6738395801607314E-2</v>
      </c>
      <c r="BI64" s="10">
        <v>-45.439518798979414</v>
      </c>
      <c r="BJ64" s="10">
        <v>55.378660704806869</v>
      </c>
      <c r="BK64" s="10">
        <v>-7.5313800093337255E-2</v>
      </c>
      <c r="BL64" s="10">
        <v>-0.61047147729992446</v>
      </c>
      <c r="BM64" s="10">
        <v>-0.64697757313654392</v>
      </c>
      <c r="BN64" s="10">
        <v>3.6506095836619457E-2</v>
      </c>
      <c r="BO64" s="10">
        <v>-87.935341456312557</v>
      </c>
      <c r="BP64" s="10">
        <v>46.597944509403177</v>
      </c>
      <c r="BQ64" s="10">
        <v>2847833.3333333335</v>
      </c>
      <c r="BR64" s="10">
        <v>2931000</v>
      </c>
      <c r="BS64" s="10">
        <v>2974998.17</v>
      </c>
      <c r="BT64">
        <v>5.6101129513665304E-2</v>
      </c>
      <c r="BU64">
        <v>2.6134425110883708E-2</v>
      </c>
      <c r="BV64" s="10">
        <v>36.577191947147234</v>
      </c>
      <c r="BW64" s="10">
        <v>34.377206673310106</v>
      </c>
      <c r="BX64" s="10">
        <v>34.377206673310106</v>
      </c>
      <c r="BY64" s="10">
        <v>47.23441572332235</v>
      </c>
      <c r="BZ64" s="10">
        <v>-86.966069826467304</v>
      </c>
      <c r="CA64" s="10">
        <v>82.752098884501081</v>
      </c>
      <c r="CB64" s="10">
        <v>0</v>
      </c>
      <c r="CC64" s="10">
        <v>0</v>
      </c>
      <c r="CD64" s="10">
        <v>0</v>
      </c>
      <c r="CE64" s="10">
        <v>0</v>
      </c>
      <c r="CF64" s="10">
        <v>0</v>
      </c>
      <c r="CG64" s="10">
        <v>0</v>
      </c>
      <c r="CH64" s="10">
        <v>0</v>
      </c>
      <c r="CI64" s="10">
        <v>0</v>
      </c>
      <c r="CJ64" s="10">
        <v>0</v>
      </c>
      <c r="CK64" s="10">
        <v>0</v>
      </c>
      <c r="CL64" s="10">
        <v>0</v>
      </c>
      <c r="CM64" s="10">
        <v>0</v>
      </c>
      <c r="CN64" s="10">
        <v>0</v>
      </c>
      <c r="CO64" s="10">
        <v>0</v>
      </c>
      <c r="CP64" s="10">
        <v>0</v>
      </c>
      <c r="CQ64" s="10">
        <v>0</v>
      </c>
      <c r="CR64" s="10">
        <v>0</v>
      </c>
      <c r="CS64" s="10">
        <v>0</v>
      </c>
      <c r="CT64" s="10">
        <v>0</v>
      </c>
      <c r="CU64" s="10">
        <v>0</v>
      </c>
      <c r="CV64" s="10">
        <v>0</v>
      </c>
      <c r="CW64" s="10">
        <v>0</v>
      </c>
      <c r="CX64" s="10" t="s">
        <v>147</v>
      </c>
      <c r="CY64" s="1" t="str">
        <f>VLOOKUP(bovespa_diario_last_date_1[[#This Row],[Stock]],Patterns!H:J,2,0)</f>
        <v>NO_PATTERN</v>
      </c>
      <c r="CZ64" s="5">
        <f>IF(RIGHT(bovespa_diario_last_date_1[[#This Row],[PATTERN]],4)="Bull",1,IF(RIGHT(bovespa_diario_last_date_1[[#This Row],[PATTERN]],4)="Bear",-1,0))</f>
        <v>0</v>
      </c>
    </row>
    <row r="65" spans="1:104" x14ac:dyDescent="0.25">
      <c r="A65" s="4">
        <v>44491</v>
      </c>
      <c r="B65" s="10">
        <v>10.789999961853027</v>
      </c>
      <c r="C65" s="10">
        <v>9.8599996566772461</v>
      </c>
      <c r="D65" s="10">
        <v>10.630000114440918</v>
      </c>
      <c r="E65" s="10">
        <v>10.539999961853027</v>
      </c>
      <c r="F65" s="10">
        <v>16369500</v>
      </c>
      <c r="G65" s="10">
        <v>10.539999961853027</v>
      </c>
      <c r="H65" s="10">
        <v>10.75</v>
      </c>
      <c r="I65" s="10">
        <v>-1.9534887269485823E-2</v>
      </c>
      <c r="J65" s="10">
        <v>-1.9728215079712907E-2</v>
      </c>
      <c r="K65" s="10">
        <v>9.0000152587890625E-2</v>
      </c>
      <c r="L65" s="10">
        <v>0.68000030517578125</v>
      </c>
      <c r="M65" s="10">
        <v>0.15999984741210938</v>
      </c>
      <c r="N65" s="10">
        <v>8.5026124009014367E-3</v>
      </c>
      <c r="O65" s="10">
        <v>7.5555461365659307</v>
      </c>
      <c r="P65" s="10">
        <v>1.7777730682829653</v>
      </c>
      <c r="Q65" s="10">
        <v>0.38688111008059861</v>
      </c>
      <c r="R65" s="10">
        <v>0.49506643742166312</v>
      </c>
      <c r="S65" s="10">
        <v>-0.10441128600762624</v>
      </c>
      <c r="T65" s="10">
        <v>-86.885057177204459</v>
      </c>
      <c r="U65" s="10">
        <v>-83.41071233348481</v>
      </c>
      <c r="V65" s="10">
        <v>-70.086491227222723</v>
      </c>
      <c r="W65" s="10">
        <v>-73.349513226460942</v>
      </c>
      <c r="X65" s="10">
        <v>-1.7100000381469727</v>
      </c>
      <c r="Y65" s="10">
        <v>-0.36333317226833767</v>
      </c>
      <c r="Z65" s="10">
        <v>-16369500</v>
      </c>
      <c r="AA65" s="10">
        <v>-107773900</v>
      </c>
      <c r="AB65" s="10">
        <v>-88.082145555501853</v>
      </c>
      <c r="AC65" s="10">
        <v>-77.711835322406159</v>
      </c>
      <c r="AD65" s="10">
        <v>25.636902141071552</v>
      </c>
      <c r="AE65" s="10">
        <v>82.455277317873623</v>
      </c>
      <c r="AF65" s="10">
        <v>-54.285373930341684</v>
      </c>
      <c r="AG65" s="10">
        <v>0.59285715648106163</v>
      </c>
      <c r="AH65" s="10">
        <v>74.017078563977293</v>
      </c>
      <c r="AI65" s="10">
        <v>55.81374021619677</v>
      </c>
      <c r="AJ65" s="10">
        <v>10.953333218892416</v>
      </c>
      <c r="AK65" s="10">
        <v>11.757500052452087</v>
      </c>
      <c r="AL65" s="10">
        <v>12.108500003814697</v>
      </c>
      <c r="AM65" s="10">
        <v>0.69294392390034054</v>
      </c>
      <c r="AN65" s="10">
        <v>16.145488843917846</v>
      </c>
      <c r="AO65" s="10">
        <v>13.494387851615379</v>
      </c>
      <c r="AP65" s="10">
        <v>10.722612156014016</v>
      </c>
      <c r="AQ65" s="10">
        <v>-0.28030245734867565</v>
      </c>
      <c r="AR65" s="10">
        <v>-1.7325635182344302E-2</v>
      </c>
      <c r="AS65" s="10">
        <v>0.22891156581972455</v>
      </c>
      <c r="AT65" s="10">
        <v>35.707134794844784</v>
      </c>
      <c r="AU65" s="10">
        <v>-18.988895380065202</v>
      </c>
      <c r="AV65" s="10">
        <v>5.9531197903588122</v>
      </c>
      <c r="AW65" s="10">
        <v>23.620746709331854</v>
      </c>
      <c r="AX65" s="10">
        <v>-88.463321438676445</v>
      </c>
      <c r="AY65" s="10">
        <v>10.719217997413425</v>
      </c>
      <c r="AZ65" s="10">
        <v>11.547703681204084</v>
      </c>
      <c r="BA65" s="10">
        <v>-9.5607563851821203E-2</v>
      </c>
      <c r="BB65" s="10">
        <v>-74.165017577021729</v>
      </c>
      <c r="BC65" s="10">
        <v>11.723404727387932</v>
      </c>
      <c r="BD65" s="10">
        <v>12.109113276348308</v>
      </c>
      <c r="BE65" s="10">
        <v>-0.14887223151558882</v>
      </c>
      <c r="BF65" s="10">
        <v>12.277867822586051</v>
      </c>
      <c r="BG65" s="10">
        <v>12.959431891054139</v>
      </c>
      <c r="BH65" s="10">
        <v>-0.22954762219712133</v>
      </c>
      <c r="BI65" s="10">
        <v>-71.662417025406796</v>
      </c>
      <c r="BJ65" s="10">
        <v>15.361584897020547</v>
      </c>
      <c r="BK65" s="10">
        <v>-0.45745587785750252</v>
      </c>
      <c r="BL65" s="10">
        <v>-0.55446309519811976</v>
      </c>
      <c r="BM65" s="10">
        <v>-0.42953362680916163</v>
      </c>
      <c r="BN65" s="10">
        <v>-0.12492946838895813</v>
      </c>
      <c r="BO65" s="10">
        <v>-86.8659903465295</v>
      </c>
      <c r="BP65" s="10">
        <v>77.002514068746422</v>
      </c>
      <c r="BQ65" s="10">
        <v>6894033.333333333</v>
      </c>
      <c r="BR65" s="10">
        <v>6548495</v>
      </c>
      <c r="BS65" s="10">
        <v>4522071</v>
      </c>
      <c r="BT65">
        <v>1.3744445680080846</v>
      </c>
      <c r="BU65">
        <v>1.4997346718597173</v>
      </c>
      <c r="BV65" s="10">
        <v>23.367701648807401</v>
      </c>
      <c r="BW65" s="10">
        <v>13.451508457737148</v>
      </c>
      <c r="BX65" s="10">
        <v>13.451508457737148</v>
      </c>
      <c r="BY65" s="10">
        <v>16.778490360956468</v>
      </c>
      <c r="BZ65" s="10">
        <v>-87.856170458543588</v>
      </c>
      <c r="CA65" s="10">
        <v>83.836966175205959</v>
      </c>
      <c r="CB65" s="10">
        <v>0</v>
      </c>
      <c r="CC65" s="10">
        <v>0</v>
      </c>
      <c r="CD65" s="10">
        <v>0</v>
      </c>
      <c r="CE65" s="10">
        <v>0</v>
      </c>
      <c r="CF65" s="10">
        <v>0</v>
      </c>
      <c r="CG65" s="10">
        <v>0</v>
      </c>
      <c r="CH65" s="10">
        <v>0</v>
      </c>
      <c r="CI65" s="10">
        <v>0</v>
      </c>
      <c r="CJ65" s="10">
        <v>0</v>
      </c>
      <c r="CK65" s="10">
        <v>0</v>
      </c>
      <c r="CL65" s="10">
        <v>0</v>
      </c>
      <c r="CM65" s="10">
        <v>0</v>
      </c>
      <c r="CN65" s="10">
        <v>0</v>
      </c>
      <c r="CO65" s="10">
        <v>0</v>
      </c>
      <c r="CP65" s="10">
        <v>0</v>
      </c>
      <c r="CQ65" s="10">
        <v>0</v>
      </c>
      <c r="CR65" s="10">
        <v>0</v>
      </c>
      <c r="CS65" s="10">
        <v>0</v>
      </c>
      <c r="CT65" s="10">
        <v>0</v>
      </c>
      <c r="CU65" s="10">
        <v>0</v>
      </c>
      <c r="CV65" s="10">
        <v>0</v>
      </c>
      <c r="CW65" s="10">
        <v>0</v>
      </c>
      <c r="CX65" s="10" t="s">
        <v>148</v>
      </c>
      <c r="CY65" s="1" t="str">
        <f>VLOOKUP(bovespa_diario_last_date_1[[#This Row],[Stock]],Patterns!H:J,2,0)</f>
        <v>NO_PATTERN</v>
      </c>
      <c r="CZ65" s="5">
        <f>IF(RIGHT(bovespa_diario_last_date_1[[#This Row],[PATTERN]],4)="Bull",1,IF(RIGHT(bovespa_diario_last_date_1[[#This Row],[PATTERN]],4)="Bear",-1,0))</f>
        <v>0</v>
      </c>
    </row>
    <row r="66" spans="1:104" x14ac:dyDescent="0.25">
      <c r="A66" s="4">
        <v>44491</v>
      </c>
      <c r="B66" s="10">
        <v>25.190000534057617</v>
      </c>
      <c r="C66" s="10">
        <v>24.209999084472656</v>
      </c>
      <c r="D66" s="10">
        <v>25.069999694824219</v>
      </c>
      <c r="E66" s="10">
        <v>25.149999618530273</v>
      </c>
      <c r="F66" s="10">
        <v>4583800</v>
      </c>
      <c r="G66" s="10">
        <v>25.149999618530273</v>
      </c>
      <c r="H66" s="10">
        <v>25.530000686645508</v>
      </c>
      <c r="I66" s="10">
        <v>-1.4884491104381725E-2</v>
      </c>
      <c r="J66" s="10">
        <v>-1.4996376771059264E-2</v>
      </c>
      <c r="K66" s="10">
        <v>7.9999923706054688E-2</v>
      </c>
      <c r="L66" s="10">
        <v>0.8600006103515625</v>
      </c>
      <c r="M66" s="10">
        <v>4.000091552734375E-2</v>
      </c>
      <c r="N66" s="10">
        <v>3.1859786857775254E-3</v>
      </c>
      <c r="O66" s="10">
        <v>10.750017881410486</v>
      </c>
      <c r="P66" s="10">
        <v>0.50001192094032376</v>
      </c>
      <c r="Q66" s="10">
        <v>0.28048151842333058</v>
      </c>
      <c r="R66" s="10">
        <v>0.23372296252318081</v>
      </c>
      <c r="S66" s="10">
        <v>-1.0678387384677572E-2</v>
      </c>
      <c r="T66" s="10">
        <v>-85.358947615997494</v>
      </c>
      <c r="U66" s="10">
        <v>-76.369619493882027</v>
      </c>
      <c r="V66" s="10">
        <v>-29.937494858361955</v>
      </c>
      <c r="W66" s="10">
        <v>-71.103037712472741</v>
      </c>
      <c r="X66" s="10">
        <v>-0.88000106811523438</v>
      </c>
      <c r="Y66" s="10">
        <v>-0.33000013563368058</v>
      </c>
      <c r="Z66" s="10">
        <v>-4583800</v>
      </c>
      <c r="AA66" s="10">
        <v>40573300</v>
      </c>
      <c r="AB66" s="10">
        <v>-83.737555380692413</v>
      </c>
      <c r="AC66" s="10">
        <v>-49.003788259241773</v>
      </c>
      <c r="AD66" s="10">
        <v>15.781287540559847</v>
      </c>
      <c r="AE66" s="10">
        <v>-35.005771056812087</v>
      </c>
      <c r="AF66" s="10">
        <v>-57.369208639254197</v>
      </c>
      <c r="AG66" s="10">
        <v>0.79357174464634483</v>
      </c>
      <c r="AH66" s="10">
        <v>41.372761523029368</v>
      </c>
      <c r="AI66" s="10">
        <v>39.877601260690248</v>
      </c>
      <c r="AJ66" s="10">
        <v>25.596666971842449</v>
      </c>
      <c r="AK66" s="10">
        <v>26.06000018119812</v>
      </c>
      <c r="AL66" s="10">
        <v>26.326500129699706</v>
      </c>
      <c r="AM66" s="10">
        <v>0.6828985043407878</v>
      </c>
      <c r="AN66" s="10">
        <v>26.915386543273925</v>
      </c>
      <c r="AO66" s="10">
        <v>27.692297138381281</v>
      </c>
      <c r="AP66" s="10">
        <v>24.960703121018131</v>
      </c>
      <c r="AQ66" s="10">
        <v>-0.10108538999650195</v>
      </c>
      <c r="AR66" s="10">
        <v>7.5266998164354041E-3</v>
      </c>
      <c r="AS66" s="10">
        <v>0.10375834250301877</v>
      </c>
      <c r="AT66" s="10">
        <v>-68.726992351576541</v>
      </c>
      <c r="AU66" s="10">
        <v>49.444922374541598</v>
      </c>
      <c r="AV66" s="10">
        <v>15.258697670020695</v>
      </c>
      <c r="AW66" s="10">
        <v>32.981482620368936</v>
      </c>
      <c r="AX66" s="10">
        <v>-88.30990286330983</v>
      </c>
      <c r="AY66" s="10">
        <v>83.863776203766477</v>
      </c>
      <c r="AZ66" s="10">
        <v>25.908418812076604</v>
      </c>
      <c r="BA66" s="10">
        <v>-3.0155833202778065E-2</v>
      </c>
      <c r="BB66" s="10">
        <v>-56.199758824550699</v>
      </c>
      <c r="BC66" s="10">
        <v>26.026419315188662</v>
      </c>
      <c r="BD66" s="10">
        <v>26.282747995253903</v>
      </c>
      <c r="BE66" s="10">
        <v>-4.5039697570771794E-2</v>
      </c>
      <c r="BF66" s="10">
        <v>26.360036559010737</v>
      </c>
      <c r="BG66" s="10">
        <v>26.438641591854605</v>
      </c>
      <c r="BH66" s="10">
        <v>-5.1238250213525759E-2</v>
      </c>
      <c r="BI66" s="10">
        <v>-61.526514372342568</v>
      </c>
      <c r="BJ66" s="10">
        <v>26.642383948211329</v>
      </c>
      <c r="BK66" s="10">
        <v>-5.9339338064302839E-2</v>
      </c>
      <c r="BL66" s="10">
        <v>-0.33361724382207569</v>
      </c>
      <c r="BM66" s="10">
        <v>-0.23147523408047727</v>
      </c>
      <c r="BN66" s="10">
        <v>-0.10214200974159843</v>
      </c>
      <c r="BO66" s="10">
        <v>-75.742074732137411</v>
      </c>
      <c r="BP66" s="10">
        <v>80.22431320661164</v>
      </c>
      <c r="BQ66" s="10">
        <v>2259333.3333333335</v>
      </c>
      <c r="BR66" s="10">
        <v>2130010</v>
      </c>
      <c r="BS66" s="10">
        <v>2215196.5</v>
      </c>
      <c r="BT66">
        <v>1.0288285629979343</v>
      </c>
      <c r="BU66">
        <v>1.1520086760156056</v>
      </c>
      <c r="BV66" s="10">
        <v>34.432235711835403</v>
      </c>
      <c r="BW66" s="10">
        <v>36.295561288791106</v>
      </c>
      <c r="BX66" s="10">
        <v>36.295561288791106</v>
      </c>
      <c r="BY66" s="10">
        <v>42.149590748305435</v>
      </c>
      <c r="BZ66" s="10">
        <v>-72.293977958583639</v>
      </c>
      <c r="CA66" s="10">
        <v>80.050186978331183</v>
      </c>
      <c r="CB66" s="10">
        <v>0</v>
      </c>
      <c r="CC66" s="10">
        <v>0</v>
      </c>
      <c r="CD66" s="10">
        <v>0</v>
      </c>
      <c r="CE66" s="10">
        <v>0</v>
      </c>
      <c r="CF66" s="10">
        <v>0</v>
      </c>
      <c r="CG66" s="10">
        <v>0</v>
      </c>
      <c r="CH66" s="10">
        <v>0</v>
      </c>
      <c r="CI66" s="10">
        <v>0</v>
      </c>
      <c r="CJ66" s="10">
        <v>0</v>
      </c>
      <c r="CK66" s="10">
        <v>0</v>
      </c>
      <c r="CL66" s="10">
        <v>0</v>
      </c>
      <c r="CM66" s="10">
        <v>0</v>
      </c>
      <c r="CN66" s="10">
        <v>0</v>
      </c>
      <c r="CO66" s="10">
        <v>0</v>
      </c>
      <c r="CP66" s="10">
        <v>0</v>
      </c>
      <c r="CQ66" s="10">
        <v>0</v>
      </c>
      <c r="CR66" s="10">
        <v>0</v>
      </c>
      <c r="CS66" s="10">
        <v>0</v>
      </c>
      <c r="CT66" s="10">
        <v>0</v>
      </c>
      <c r="CU66" s="10">
        <v>0</v>
      </c>
      <c r="CV66" s="10">
        <v>0</v>
      </c>
      <c r="CW66" s="10">
        <v>0</v>
      </c>
      <c r="CX66" s="10" t="s">
        <v>149</v>
      </c>
      <c r="CY66" s="1" t="str">
        <f>VLOOKUP(bovespa_diario_last_date_1[[#This Row],[Stock]],Patterns!H:J,2,0)</f>
        <v>CDLSPINNINGTOP_Bear</v>
      </c>
      <c r="CZ66" s="5">
        <f>IF(RIGHT(bovespa_diario_last_date_1[[#This Row],[PATTERN]],4)="Bull",1,IF(RIGHT(bovespa_diario_last_date_1[[#This Row],[PATTERN]],4)="Bear",-1,0))</f>
        <v>-1</v>
      </c>
    </row>
    <row r="67" spans="1:104" x14ac:dyDescent="0.25">
      <c r="A67" s="4">
        <v>44491</v>
      </c>
      <c r="B67" s="10">
        <v>38.360000610351563</v>
      </c>
      <c r="C67" s="10">
        <v>37.130001068115234</v>
      </c>
      <c r="D67" s="10">
        <v>38.209999084472656</v>
      </c>
      <c r="E67" s="10">
        <v>37.869998931884766</v>
      </c>
      <c r="F67" s="10">
        <v>2452900</v>
      </c>
      <c r="G67" s="10">
        <v>37.869998931884766</v>
      </c>
      <c r="H67" s="10">
        <v>38.549999237060547</v>
      </c>
      <c r="I67" s="10">
        <v>-1.7639437578044204E-2</v>
      </c>
      <c r="J67" s="10">
        <v>-1.7796866509514241E-2</v>
      </c>
      <c r="K67" s="10">
        <v>0.34000015258789063</v>
      </c>
      <c r="L67" s="10">
        <v>0.73999786376953125</v>
      </c>
      <c r="M67" s="10">
        <v>0.15000152587890625</v>
      </c>
      <c r="N67" s="10">
        <v>8.9379642863499972E-3</v>
      </c>
      <c r="O67" s="10">
        <v>2.1764633284340675</v>
      </c>
      <c r="P67" s="10">
        <v>0.44118076047077831</v>
      </c>
      <c r="Q67" s="10">
        <v>0.21906667653239131</v>
      </c>
      <c r="R67" s="10">
        <v>0.154901018822306</v>
      </c>
      <c r="S67" s="10">
        <v>1.7312929697845907E-2</v>
      </c>
      <c r="T67" s="10">
        <v>-75.229160976519822</v>
      </c>
      <c r="U67" s="10">
        <v>9.3387552778759932</v>
      </c>
      <c r="V67" s="10">
        <v>73.195195453947889</v>
      </c>
      <c r="W67" s="10">
        <v>57.722639786322596</v>
      </c>
      <c r="X67" s="10">
        <v>0.28999710083007813</v>
      </c>
      <c r="Y67" s="10">
        <v>0.94555494520399308</v>
      </c>
      <c r="Z67" s="10">
        <v>-2452900</v>
      </c>
      <c r="AA67" s="10">
        <v>-55777500</v>
      </c>
      <c r="AB67" s="10">
        <v>-83.028701730397074</v>
      </c>
      <c r="AC67" s="10">
        <v>60.701690163666377</v>
      </c>
      <c r="AD67" s="10">
        <v>15.077268328518063</v>
      </c>
      <c r="AE67" s="10">
        <v>-80.748634032785162</v>
      </c>
      <c r="AF67" s="10">
        <v>-79.000050883588131</v>
      </c>
      <c r="AG67" s="10">
        <v>0.84357098170689171</v>
      </c>
      <c r="AH67" s="10">
        <v>70.100948639853144</v>
      </c>
      <c r="AI67" s="10">
        <v>43.589496101668189</v>
      </c>
      <c r="AJ67" s="10">
        <v>38.473332722981773</v>
      </c>
      <c r="AK67" s="10">
        <v>38.484999656677246</v>
      </c>
      <c r="AL67" s="10">
        <v>37.964499855041502</v>
      </c>
      <c r="AM67" s="10">
        <v>0.53600320170446603</v>
      </c>
      <c r="AN67" s="10">
        <v>38.479077911376955</v>
      </c>
      <c r="AO67" s="10">
        <v>39.036506258450437</v>
      </c>
      <c r="AP67" s="10">
        <v>36.892493451632568</v>
      </c>
      <c r="AQ67" s="10">
        <v>-3.0802940572135243E-2</v>
      </c>
      <c r="AR67" s="10">
        <v>2.5812133821561428E-2</v>
      </c>
      <c r="AS67" s="10">
        <v>5.6474148612632252E-2</v>
      </c>
      <c r="AT67" s="10">
        <v>-47.086862245606163</v>
      </c>
      <c r="AU67" s="10">
        <v>-56.832581036041105</v>
      </c>
      <c r="AV67" s="10">
        <v>27.578277144919284</v>
      </c>
      <c r="AW67" s="10">
        <v>44.859897599438483</v>
      </c>
      <c r="AX67" s="10">
        <v>-87.682686540836897</v>
      </c>
      <c r="AY67" s="10">
        <v>85.858307426073353</v>
      </c>
      <c r="AZ67" s="10">
        <v>38.293878843988665</v>
      </c>
      <c r="BA67" s="10">
        <v>-1.1193026777378977E-2</v>
      </c>
      <c r="BB67" s="10">
        <v>71.768420980411292</v>
      </c>
      <c r="BC67" s="10">
        <v>38.254250039509166</v>
      </c>
      <c r="BD67" s="10">
        <v>38.194406519316097</v>
      </c>
      <c r="BE67" s="10">
        <v>-8.5663479424657445E-3</v>
      </c>
      <c r="BF67" s="10">
        <v>38.170239918555438</v>
      </c>
      <c r="BG67" s="10">
        <v>38.055943680213289</v>
      </c>
      <c r="BH67" s="10">
        <v>-4.9100806330355327E-3</v>
      </c>
      <c r="BI67" s="10">
        <v>23.676460617655575</v>
      </c>
      <c r="BJ67" s="10">
        <v>38.351606714221248</v>
      </c>
      <c r="BK67" s="10">
        <v>-1.2717396248220936E-2</v>
      </c>
      <c r="BL67" s="10">
        <v>8.4010120953728062E-2</v>
      </c>
      <c r="BM67" s="10">
        <v>3.6516332741699492E-2</v>
      </c>
      <c r="BN67" s="10">
        <v>4.749378821202857E-2</v>
      </c>
      <c r="BO67" s="10">
        <v>-72.477164334053128</v>
      </c>
      <c r="BP67" s="10">
        <v>84.458342968538105</v>
      </c>
      <c r="BQ67" s="10">
        <v>1646800</v>
      </c>
      <c r="BR67" s="10">
        <v>1489605</v>
      </c>
      <c r="BS67" s="10">
        <v>1548192</v>
      </c>
      <c r="BT67">
        <v>0.48949477775078942</v>
      </c>
      <c r="BU67">
        <v>0.64667814621997111</v>
      </c>
      <c r="BV67" s="10">
        <v>44.839836877430002</v>
      </c>
      <c r="BW67" s="10">
        <v>66.31080895183068</v>
      </c>
      <c r="BX67" s="10">
        <v>66.31080895183068</v>
      </c>
      <c r="BY67" s="10">
        <v>72.262179310337402</v>
      </c>
      <c r="BZ67" s="10">
        <v>-72.086266454981498</v>
      </c>
      <c r="CA67" s="10">
        <v>84.621597443969549</v>
      </c>
      <c r="CB67" s="10">
        <v>1</v>
      </c>
      <c r="CC67" s="10">
        <v>0</v>
      </c>
      <c r="CD67" s="10">
        <v>1</v>
      </c>
      <c r="CE67" s="10">
        <v>1</v>
      </c>
      <c r="CF67" s="10">
        <v>0</v>
      </c>
      <c r="CG67" s="10">
        <v>1</v>
      </c>
      <c r="CH67" s="10">
        <v>0</v>
      </c>
      <c r="CI67" s="10">
        <v>0</v>
      </c>
      <c r="CJ67" s="10">
        <v>0</v>
      </c>
      <c r="CK67" s="10">
        <v>-1</v>
      </c>
      <c r="CL67" s="10">
        <v>0</v>
      </c>
      <c r="CM67" s="10">
        <v>-1</v>
      </c>
      <c r="CN67" s="10">
        <v>0</v>
      </c>
      <c r="CO67" s="10">
        <v>0</v>
      </c>
      <c r="CP67" s="10">
        <v>0</v>
      </c>
      <c r="CQ67" s="10">
        <v>0</v>
      </c>
      <c r="CR67" s="10">
        <v>0</v>
      </c>
      <c r="CS67" s="10">
        <v>0</v>
      </c>
      <c r="CT67" s="10">
        <v>0</v>
      </c>
      <c r="CU67" s="10">
        <v>0</v>
      </c>
      <c r="CV67" s="10">
        <v>0</v>
      </c>
      <c r="CW67" s="10">
        <v>0</v>
      </c>
      <c r="CX67" s="10" t="s">
        <v>150</v>
      </c>
      <c r="CY67" s="1" t="str">
        <f>VLOOKUP(bovespa_diario_last_date_1[[#This Row],[Stock]],Patterns!H:J,2,0)</f>
        <v>CDLONNECK_Bear</v>
      </c>
      <c r="CZ67" s="5">
        <f>IF(RIGHT(bovespa_diario_last_date_1[[#This Row],[PATTERN]],4)="Bull",1,IF(RIGHT(bovespa_diario_last_date_1[[#This Row],[PATTERN]],4)="Bear",-1,0))</f>
        <v>-1</v>
      </c>
    </row>
    <row r="68" spans="1:104" x14ac:dyDescent="0.25">
      <c r="A68" s="4">
        <v>44491</v>
      </c>
      <c r="B68" s="10">
        <v>29.239999771118164</v>
      </c>
      <c r="C68" s="10">
        <v>26.920000076293945</v>
      </c>
      <c r="D68" s="10">
        <v>29.200000762939453</v>
      </c>
      <c r="E68" s="10">
        <v>28.620000839233398</v>
      </c>
      <c r="F68" s="10">
        <v>5737400</v>
      </c>
      <c r="G68" s="10">
        <v>28.620000839233398</v>
      </c>
      <c r="H68" s="10">
        <v>29.700000762939453</v>
      </c>
      <c r="I68" s="10">
        <v>-3.6363632860700434E-2</v>
      </c>
      <c r="J68" s="10">
        <v>-3.7041268045226901E-2</v>
      </c>
      <c r="K68" s="10">
        <v>0.57999992370605469</v>
      </c>
      <c r="L68" s="10">
        <v>1.7000007629394531</v>
      </c>
      <c r="M68" s="10">
        <v>3.9999008178710938E-2</v>
      </c>
      <c r="N68" s="10">
        <v>2.0062258998078567E-2</v>
      </c>
      <c r="O68" s="10">
        <v>2.9310361837237369</v>
      </c>
      <c r="P68" s="10">
        <v>6.8963816276263037E-2</v>
      </c>
      <c r="Q68" s="10">
        <v>0.41466917359147898</v>
      </c>
      <c r="R68" s="10">
        <v>0.48327270577741432</v>
      </c>
      <c r="S68" s="10">
        <v>-7.826722032969044E-2</v>
      </c>
      <c r="T68" s="10">
        <v>-87.015302855002929</v>
      </c>
      <c r="U68" s="10">
        <v>-83.242927957049034</v>
      </c>
      <c r="V68" s="10">
        <v>-48.348066390947508</v>
      </c>
      <c r="W68" s="10">
        <v>-36.023207107957951</v>
      </c>
      <c r="X68" s="10">
        <v>-4.3799991607666016</v>
      </c>
      <c r="Y68" s="10">
        <v>0.40555572509765625</v>
      </c>
      <c r="Z68" s="10">
        <v>-5737400</v>
      </c>
      <c r="AA68" s="10">
        <v>-3105200</v>
      </c>
      <c r="AB68" s="10">
        <v>-88.415596714635527</v>
      </c>
      <c r="AC68" s="10">
        <v>1.356369987814898</v>
      </c>
      <c r="AD68" s="10">
        <v>26.995399997943288</v>
      </c>
      <c r="AE68" s="10">
        <v>-83.74893155261698</v>
      </c>
      <c r="AF68" s="10">
        <v>-84.402274381124627</v>
      </c>
      <c r="AG68" s="10">
        <v>1.5821429661342077</v>
      </c>
      <c r="AH68" s="10">
        <v>81.12966207256089</v>
      </c>
      <c r="AI68" s="10">
        <v>75.051220745825631</v>
      </c>
      <c r="AJ68" s="10">
        <v>29.883333841959637</v>
      </c>
      <c r="AK68" s="10">
        <v>31.986250400543213</v>
      </c>
      <c r="AL68" s="10">
        <v>31.921000289916993</v>
      </c>
      <c r="AM68" s="10">
        <v>1.3556854222942447</v>
      </c>
      <c r="AN68" s="10">
        <v>36.913336591720579</v>
      </c>
      <c r="AO68" s="10">
        <v>34.632371134505483</v>
      </c>
      <c r="AP68" s="10">
        <v>29.209629445328503</v>
      </c>
      <c r="AQ68" s="10">
        <v>-0.21007582526098659</v>
      </c>
      <c r="AR68" s="10">
        <v>-2.060197724686362E-2</v>
      </c>
      <c r="AS68" s="10">
        <v>0.16988006766473049</v>
      </c>
      <c r="AT68" s="10">
        <v>80.13006000761024</v>
      </c>
      <c r="AU68" s="10">
        <v>69.696178885566894</v>
      </c>
      <c r="AV68" s="10">
        <v>8.0083519969225989</v>
      </c>
      <c r="AW68" s="10">
        <v>29.209938569428729</v>
      </c>
      <c r="AX68" s="10">
        <v>-88.892595208713558</v>
      </c>
      <c r="AY68" s="10">
        <v>21.92292228466879</v>
      </c>
      <c r="AZ68" s="10">
        <v>31.235705325837738</v>
      </c>
      <c r="BA68" s="10">
        <v>-9.1394284063703854E-2</v>
      </c>
      <c r="BB68" s="10">
        <v>-51.263946044670661</v>
      </c>
      <c r="BC68" s="10">
        <v>31.496081724855753</v>
      </c>
      <c r="BD68" s="10">
        <v>31.985007359133437</v>
      </c>
      <c r="BE68" s="10">
        <v>-0.11757534665362966</v>
      </c>
      <c r="BF68" s="10">
        <v>32.253155031455037</v>
      </c>
      <c r="BG68" s="10">
        <v>33.667926770665026</v>
      </c>
      <c r="BH68" s="10">
        <v>-0.17637756056637627</v>
      </c>
      <c r="BI68" s="10">
        <v>-58.614391045481703</v>
      </c>
      <c r="BJ68" s="10">
        <v>36.598076269017874</v>
      </c>
      <c r="BK68" s="10">
        <v>-0.27875874199304085</v>
      </c>
      <c r="BL68" s="10">
        <v>-0.75707330659928473</v>
      </c>
      <c r="BM68" s="10">
        <v>-0.54153610401817998</v>
      </c>
      <c r="BN68" s="10">
        <v>-0.21553720258110476</v>
      </c>
      <c r="BO68" s="10">
        <v>-87.215970753760431</v>
      </c>
      <c r="BP68" s="10">
        <v>-28.794897074563426</v>
      </c>
      <c r="BQ68" s="10">
        <v>3006300</v>
      </c>
      <c r="BR68" s="10">
        <v>2409510</v>
      </c>
      <c r="BS68" s="10">
        <v>2193901</v>
      </c>
      <c r="BT68">
        <v>0.90845890297042886</v>
      </c>
      <c r="BU68">
        <v>1.381148034247627</v>
      </c>
      <c r="BV68" s="10">
        <v>22.486784167087787</v>
      </c>
      <c r="BW68" s="10">
        <v>20.945000406913945</v>
      </c>
      <c r="BX68" s="10">
        <v>20.945000406913945</v>
      </c>
      <c r="BY68" s="10">
        <v>34.099454853931285</v>
      </c>
      <c r="BZ68" s="10">
        <v>-88.948845386070943</v>
      </c>
      <c r="CA68" s="10">
        <v>86.124411505831532</v>
      </c>
      <c r="CB68" s="10">
        <v>0</v>
      </c>
      <c r="CC68" s="10">
        <v>0</v>
      </c>
      <c r="CD68" s="10">
        <v>0</v>
      </c>
      <c r="CE68" s="10">
        <v>0</v>
      </c>
      <c r="CF68" s="10">
        <v>0</v>
      </c>
      <c r="CG68" s="10">
        <v>0</v>
      </c>
      <c r="CH68" s="10">
        <v>0</v>
      </c>
      <c r="CI68" s="10">
        <v>0</v>
      </c>
      <c r="CJ68" s="10">
        <v>0</v>
      </c>
      <c r="CK68" s="10">
        <v>0</v>
      </c>
      <c r="CL68" s="10">
        <v>0</v>
      </c>
      <c r="CM68" s="10">
        <v>0</v>
      </c>
      <c r="CN68" s="10">
        <v>0</v>
      </c>
      <c r="CO68" s="10">
        <v>0</v>
      </c>
      <c r="CP68" s="10">
        <v>0</v>
      </c>
      <c r="CQ68" s="10">
        <v>0</v>
      </c>
      <c r="CR68" s="10">
        <v>0</v>
      </c>
      <c r="CS68" s="10">
        <v>0</v>
      </c>
      <c r="CT68" s="10">
        <v>0</v>
      </c>
      <c r="CU68" s="10">
        <v>0</v>
      </c>
      <c r="CV68" s="10">
        <v>0</v>
      </c>
      <c r="CW68" s="10">
        <v>0</v>
      </c>
      <c r="CX68" s="10" t="s">
        <v>151</v>
      </c>
      <c r="CY68" s="1" t="str">
        <f>VLOOKUP(bovespa_diario_last_date_1[[#This Row],[Stock]],Patterns!H:J,2,0)</f>
        <v>NO_PATTERN</v>
      </c>
      <c r="CZ68" s="5">
        <f>IF(RIGHT(bovespa_diario_last_date_1[[#This Row],[PATTERN]],4)="Bull",1,IF(RIGHT(bovespa_diario_last_date_1[[#This Row],[PATTERN]],4)="Bear",-1,0))</f>
        <v>0</v>
      </c>
    </row>
    <row r="69" spans="1:104" x14ac:dyDescent="0.25">
      <c r="A69" s="4">
        <v>44491</v>
      </c>
      <c r="B69" s="10">
        <v>14.279999732971191</v>
      </c>
      <c r="C69" s="10">
        <v>13.260000228881836</v>
      </c>
      <c r="D69" s="10">
        <v>14.100000381469727</v>
      </c>
      <c r="E69" s="10">
        <v>14</v>
      </c>
      <c r="F69" s="10">
        <v>20277000</v>
      </c>
      <c r="G69" s="10">
        <v>14</v>
      </c>
      <c r="H69" s="10">
        <v>14.600000381469727</v>
      </c>
      <c r="I69" s="10">
        <v>-4.1095915465265698E-2</v>
      </c>
      <c r="J69" s="10">
        <v>-4.1964225227095281E-2</v>
      </c>
      <c r="K69" s="10">
        <v>0.10000038146972656</v>
      </c>
      <c r="L69" s="10">
        <v>0.73999977111816406</v>
      </c>
      <c r="M69" s="10">
        <v>0.17999935150146484</v>
      </c>
      <c r="N69" s="10">
        <v>7.117464776667466E-3</v>
      </c>
      <c r="O69" s="10">
        <v>7.3999694825382898</v>
      </c>
      <c r="P69" s="10">
        <v>1.7999866486105018</v>
      </c>
      <c r="Q69" s="10">
        <v>0.36777482154650309</v>
      </c>
      <c r="R69" s="10">
        <v>0.32030616725506805</v>
      </c>
      <c r="S69" s="10">
        <v>-6.8992871486951601E-2</v>
      </c>
      <c r="T69" s="10">
        <v>-84.509361473727893</v>
      </c>
      <c r="U69" s="10">
        <v>-79.453573119061829</v>
      </c>
      <c r="V69" s="10">
        <v>-67.001347439868184</v>
      </c>
      <c r="W69" s="10">
        <v>-77.167345721834849</v>
      </c>
      <c r="X69" s="10">
        <v>-1.2799997329711914</v>
      </c>
      <c r="Y69" s="10">
        <v>-0.7733330196804471</v>
      </c>
      <c r="Z69" s="10">
        <v>-20277000</v>
      </c>
      <c r="AA69" s="10">
        <v>174545800</v>
      </c>
      <c r="AB69" s="10">
        <v>-85.428997788612605</v>
      </c>
      <c r="AC69" s="10">
        <v>-63.81956656886544</v>
      </c>
      <c r="AD69" s="10">
        <v>21.897883368005559</v>
      </c>
      <c r="AE69" s="10">
        <v>85.578432479027498</v>
      </c>
      <c r="AF69" s="10">
        <v>74.682434388252801</v>
      </c>
      <c r="AG69" s="10">
        <v>0.6528569630214146</v>
      </c>
      <c r="AH69" s="10">
        <v>81.523743498662697</v>
      </c>
      <c r="AI69" s="10">
        <v>-64.850852191989844</v>
      </c>
      <c r="AJ69" s="10">
        <v>14.450000127156576</v>
      </c>
      <c r="AK69" s="10">
        <v>14.943750143051147</v>
      </c>
      <c r="AL69" s="10">
        <v>15.483999919891357</v>
      </c>
      <c r="AM69" s="10">
        <v>0.78182222722668238</v>
      </c>
      <c r="AN69" s="10">
        <v>16.547774991989137</v>
      </c>
      <c r="AO69" s="10">
        <v>17.047644374344721</v>
      </c>
      <c r="AP69" s="10">
        <v>13.920355465437993</v>
      </c>
      <c r="AQ69" s="10">
        <v>-0.21768888388176574</v>
      </c>
      <c r="AR69" s="10">
        <v>5.6888953258576536E-3</v>
      </c>
      <c r="AS69" s="10">
        <v>0.2019690600029834</v>
      </c>
      <c r="AT69" s="10">
        <v>79.246124655085623</v>
      </c>
      <c r="AU69" s="10">
        <v>75.702794879501639</v>
      </c>
      <c r="AV69" s="10">
        <v>3.6597515909973879</v>
      </c>
      <c r="AW69" s="10">
        <v>21.887727301043654</v>
      </c>
      <c r="AX69" s="10">
        <v>-87.950069341153906</v>
      </c>
      <c r="AY69" s="10">
        <v>-41.467604124070803</v>
      </c>
      <c r="AZ69" s="10">
        <v>14.847549659641846</v>
      </c>
      <c r="BA69" s="10">
        <v>-6.0539261402988993E-2</v>
      </c>
      <c r="BB69" s="10">
        <v>-73.471899614825375</v>
      </c>
      <c r="BC69" s="10">
        <v>14.998397872630889</v>
      </c>
      <c r="BD69" s="10">
        <v>15.321922274766248</v>
      </c>
      <c r="BE69" s="10">
        <v>-9.4423019626160551E-2</v>
      </c>
      <c r="BF69" s="10">
        <v>15.448025247824832</v>
      </c>
      <c r="BG69" s="10">
        <v>15.833952105254401</v>
      </c>
      <c r="BH69" s="10">
        <v>-0.13099657894674291</v>
      </c>
      <c r="BI69" s="10">
        <v>-66.459215491671017</v>
      </c>
      <c r="BJ69" s="10">
        <v>15.848833093712983</v>
      </c>
      <c r="BK69" s="10">
        <v>-0.1320595066937845</v>
      </c>
      <c r="BL69" s="10">
        <v>-0.44962737519394302</v>
      </c>
      <c r="BM69" s="10">
        <v>-0.32994222127004852</v>
      </c>
      <c r="BN69" s="10">
        <v>-0.11968515392389451</v>
      </c>
      <c r="BO69" s="10">
        <v>-84.716553159136097</v>
      </c>
      <c r="BP69" s="10">
        <v>71.690242769342362</v>
      </c>
      <c r="BQ69" s="10">
        <v>6877933.333333333</v>
      </c>
      <c r="BR69" s="10">
        <v>7373740</v>
      </c>
      <c r="BS69" s="10">
        <v>6495570</v>
      </c>
      <c r="BT69">
        <v>1.9481239519623146</v>
      </c>
      <c r="BU69">
        <v>1.7498935411338072</v>
      </c>
      <c r="BV69" s="10">
        <v>22.492401039592281</v>
      </c>
      <c r="BW69" s="10">
        <v>16.352573683261884</v>
      </c>
      <c r="BX69" s="10">
        <v>16.352573683261884</v>
      </c>
      <c r="BY69" s="10">
        <v>14.661664210290629</v>
      </c>
      <c r="BZ69" s="10">
        <v>-87.386360884083658</v>
      </c>
      <c r="CA69" s="10">
        <v>-44.942742457159028</v>
      </c>
      <c r="CB69" s="10">
        <v>0</v>
      </c>
      <c r="CC69" s="10">
        <v>0</v>
      </c>
      <c r="CD69" s="10">
        <v>0</v>
      </c>
      <c r="CE69" s="10">
        <v>0</v>
      </c>
      <c r="CF69" s="10">
        <v>0</v>
      </c>
      <c r="CG69" s="10">
        <v>0</v>
      </c>
      <c r="CH69" s="10">
        <v>0</v>
      </c>
      <c r="CI69" s="10">
        <v>0</v>
      </c>
      <c r="CJ69" s="10">
        <v>0</v>
      </c>
      <c r="CK69" s="10">
        <v>0</v>
      </c>
      <c r="CL69" s="10">
        <v>0</v>
      </c>
      <c r="CM69" s="10">
        <v>0</v>
      </c>
      <c r="CN69" s="10">
        <v>0</v>
      </c>
      <c r="CO69" s="10">
        <v>0</v>
      </c>
      <c r="CP69" s="10">
        <v>0</v>
      </c>
      <c r="CQ69" s="10">
        <v>0</v>
      </c>
      <c r="CR69" s="10">
        <v>0</v>
      </c>
      <c r="CS69" s="10">
        <v>0</v>
      </c>
      <c r="CT69" s="10">
        <v>0</v>
      </c>
      <c r="CU69" s="10">
        <v>0</v>
      </c>
      <c r="CV69" s="10">
        <v>0</v>
      </c>
      <c r="CW69" s="10">
        <v>0</v>
      </c>
      <c r="CX69" s="10" t="s">
        <v>153</v>
      </c>
      <c r="CY69" s="1" t="str">
        <f>VLOOKUP(bovespa_diario_last_date_1[[#This Row],[Stock]],Patterns!H:J,2,0)</f>
        <v>NO_PATTERN</v>
      </c>
      <c r="CZ69" s="5">
        <f>IF(RIGHT(bovespa_diario_last_date_1[[#This Row],[PATTERN]],4)="Bull",1,IF(RIGHT(bovespa_diario_last_date_1[[#This Row],[PATTERN]],4)="Bear",-1,0))</f>
        <v>0</v>
      </c>
    </row>
    <row r="70" spans="1:104" x14ac:dyDescent="0.25">
      <c r="A70" s="4">
        <v>44491</v>
      </c>
      <c r="B70" s="10">
        <v>56.549999237060547</v>
      </c>
      <c r="C70" s="10">
        <v>53.110000610351563</v>
      </c>
      <c r="D70" s="10">
        <v>56.549999237060547</v>
      </c>
      <c r="E70" s="10">
        <v>54.869998931884766</v>
      </c>
      <c r="F70" s="10">
        <v>4000800</v>
      </c>
      <c r="G70" s="10">
        <v>54.869998931884766</v>
      </c>
      <c r="H70" s="10">
        <v>56.959999084472656</v>
      </c>
      <c r="I70" s="10">
        <v>-3.6692418998960696E-2</v>
      </c>
      <c r="J70" s="10">
        <v>-3.7382519425961908E-2</v>
      </c>
      <c r="K70" s="10">
        <v>1.6800003051757813</v>
      </c>
      <c r="L70" s="10">
        <v>1.7599983215332031</v>
      </c>
      <c r="M70" s="10">
        <v>0</v>
      </c>
      <c r="N70" s="10">
        <v>3.0156171832428309E-2</v>
      </c>
      <c r="O70" s="10">
        <v>1.0476178582295266</v>
      </c>
      <c r="P70" s="10">
        <v>0</v>
      </c>
      <c r="Q70" s="10">
        <v>0.4702926798761059</v>
      </c>
      <c r="R70" s="10">
        <v>0.50291549064466068</v>
      </c>
      <c r="S70" s="10">
        <v>-3.1748707004887473E-2</v>
      </c>
      <c r="T70" s="10">
        <v>-81.585934950453378</v>
      </c>
      <c r="U70" s="10">
        <v>-51.515106972705922</v>
      </c>
      <c r="V70" s="10">
        <v>-35.186634885174691</v>
      </c>
      <c r="W70" s="10">
        <v>-22.727150362522682</v>
      </c>
      <c r="X70" s="10">
        <v>-3.0200004577636719</v>
      </c>
      <c r="Y70" s="10">
        <v>-0.61999977959526908</v>
      </c>
      <c r="Z70" s="10">
        <v>-4000800</v>
      </c>
      <c r="AA70" s="10">
        <v>76560300</v>
      </c>
      <c r="AB70" s="10">
        <v>-72.142932383152825</v>
      </c>
      <c r="AC70" s="10">
        <v>-12.118074777771309</v>
      </c>
      <c r="AD70" s="10">
        <v>21.984449159686335</v>
      </c>
      <c r="AE70" s="10">
        <v>-65.712227034451956</v>
      </c>
      <c r="AF70" s="10">
        <v>-78.96942140493681</v>
      </c>
      <c r="AG70" s="10">
        <v>2.6778575352260043</v>
      </c>
      <c r="AH70" s="10">
        <v>-80.101866851254357</v>
      </c>
      <c r="AI70" s="10">
        <v>-83.66027214657683</v>
      </c>
      <c r="AJ70" s="10">
        <v>57.039999643961586</v>
      </c>
      <c r="AK70" s="10">
        <v>57.894999980926514</v>
      </c>
      <c r="AL70" s="10">
        <v>58.017499732971189</v>
      </c>
      <c r="AM70" s="10">
        <v>1.4672527540219984</v>
      </c>
      <c r="AN70" s="10">
        <v>48.803249855041507</v>
      </c>
      <c r="AO70" s="10">
        <v>60.952005241015186</v>
      </c>
      <c r="AP70" s="10">
        <v>55.082994224927191</v>
      </c>
      <c r="AQ70" s="10">
        <v>-0.11084392978903793</v>
      </c>
      <c r="AR70" s="10">
        <v>-3.8818169708156208E-3</v>
      </c>
      <c r="AS70" s="10">
        <v>0.10115932336106259</v>
      </c>
      <c r="AT70" s="10">
        <v>47.497355416287036</v>
      </c>
      <c r="AU70" s="10">
        <v>-83.48209496834086</v>
      </c>
      <c r="AV70" s="10">
        <v>21.394186391995362</v>
      </c>
      <c r="AW70" s="10">
        <v>37.301706499068878</v>
      </c>
      <c r="AX70" s="10">
        <v>-86.619636297952297</v>
      </c>
      <c r="AY70" s="10">
        <v>54.348125327005675</v>
      </c>
      <c r="AZ70" s="10">
        <v>57.492243908702761</v>
      </c>
      <c r="BA70" s="10">
        <v>-4.7790140839500145E-2</v>
      </c>
      <c r="BB70" s="10">
        <v>-9.5878612714592926</v>
      </c>
      <c r="BC70" s="10">
        <v>57.76806909030018</v>
      </c>
      <c r="BD70" s="10">
        <v>58.536886322291934</v>
      </c>
      <c r="BE70" s="10">
        <v>-6.6828639726405265E-2</v>
      </c>
      <c r="BF70" s="10">
        <v>58.865339648004671</v>
      </c>
      <c r="BG70" s="10">
        <v>59.350629686543023</v>
      </c>
      <c r="BH70" s="10">
        <v>-8.1659027553845617E-2</v>
      </c>
      <c r="BI70" s="10">
        <v>-41.360507687212852</v>
      </c>
      <c r="BJ70" s="10">
        <v>50.483927173135015</v>
      </c>
      <c r="BK70" s="10">
        <v>7.9935699729001081E-2</v>
      </c>
      <c r="BL70" s="10">
        <v>-1.0972705577044906</v>
      </c>
      <c r="BM70" s="10">
        <v>-1.007899440959287</v>
      </c>
      <c r="BN70" s="10">
        <v>-8.9371116745203594E-2</v>
      </c>
      <c r="BO70" s="10">
        <v>-81.814475115351215</v>
      </c>
      <c r="BP70" s="10">
        <v>83.224339484072644</v>
      </c>
      <c r="BQ70" s="10">
        <v>2529977.777777778</v>
      </c>
      <c r="BR70" s="10">
        <v>3015350</v>
      </c>
      <c r="BS70" s="10">
        <v>3557619.5</v>
      </c>
      <c r="BT70">
        <v>0.58135776335321343</v>
      </c>
      <c r="BU70">
        <v>0.32681114961778901</v>
      </c>
      <c r="BV70" s="10">
        <v>20.091308889944656</v>
      </c>
      <c r="BW70" s="10">
        <v>32.991877959430674</v>
      </c>
      <c r="BX70" s="10">
        <v>32.991877959430674</v>
      </c>
      <c r="BY70" s="10">
        <v>37.286399703560257</v>
      </c>
      <c r="BZ70" s="10">
        <v>-81.280917804614617</v>
      </c>
      <c r="CA70" s="10">
        <v>83.539488428090067</v>
      </c>
      <c r="CB70" s="10">
        <v>0</v>
      </c>
      <c r="CC70" s="10">
        <v>0</v>
      </c>
      <c r="CD70" s="10">
        <v>0</v>
      </c>
      <c r="CE70" s="10">
        <v>0</v>
      </c>
      <c r="CF70" s="10">
        <v>0</v>
      </c>
      <c r="CG70" s="10">
        <v>0</v>
      </c>
      <c r="CH70" s="10">
        <v>-1</v>
      </c>
      <c r="CI70" s="10">
        <v>0</v>
      </c>
      <c r="CJ70" s="10">
        <v>-1</v>
      </c>
      <c r="CK70" s="10">
        <v>0</v>
      </c>
      <c r="CL70" s="10">
        <v>0</v>
      </c>
      <c r="CM70" s="10">
        <v>0</v>
      </c>
      <c r="CN70" s="10">
        <v>0</v>
      </c>
      <c r="CO70" s="10">
        <v>0</v>
      </c>
      <c r="CP70" s="10">
        <v>0</v>
      </c>
      <c r="CQ70" s="10">
        <v>0</v>
      </c>
      <c r="CR70" s="10">
        <v>0</v>
      </c>
      <c r="CS70" s="10">
        <v>0</v>
      </c>
      <c r="CT70" s="10">
        <v>0</v>
      </c>
      <c r="CU70" s="10">
        <v>0</v>
      </c>
      <c r="CV70" s="10">
        <v>0</v>
      </c>
      <c r="CW70" s="10">
        <v>0</v>
      </c>
      <c r="CX70" s="10" t="s">
        <v>154</v>
      </c>
      <c r="CY70" s="1" t="str">
        <f>VLOOKUP(bovespa_diario_last_date_1[[#This Row],[Stock]],Patterns!H:J,2,0)</f>
        <v>CDLLONGLINE_Bull</v>
      </c>
      <c r="CZ70" s="5">
        <f>IF(RIGHT(bovespa_diario_last_date_1[[#This Row],[PATTERN]],4)="Bull",1,IF(RIGHT(bovespa_diario_last_date_1[[#This Row],[PATTERN]],4)="Bear",-1,0))</f>
        <v>1</v>
      </c>
    </row>
    <row r="71" spans="1:104" x14ac:dyDescent="0.25">
      <c r="A71" s="4">
        <v>44491</v>
      </c>
      <c r="B71" s="10">
        <v>8.8400001525878906</v>
      </c>
      <c r="C71" s="10">
        <v>7.9600000381469727</v>
      </c>
      <c r="D71" s="10">
        <v>8.8400001525878906</v>
      </c>
      <c r="E71" s="10">
        <v>8.2899999618530273</v>
      </c>
      <c r="F71" s="10">
        <v>19423100</v>
      </c>
      <c r="G71" s="10">
        <v>8.2899999618530273</v>
      </c>
      <c r="H71" s="10">
        <v>8.869999885559082</v>
      </c>
      <c r="I71" s="10">
        <v>-6.5388943764286944E-2</v>
      </c>
      <c r="J71" s="10">
        <v>-6.7624818873829207E-2</v>
      </c>
      <c r="K71" s="10">
        <v>0.55000019073486328</v>
      </c>
      <c r="L71" s="10">
        <v>0.32999992370605469</v>
      </c>
      <c r="M71" s="10">
        <v>0</v>
      </c>
      <c r="N71" s="10">
        <v>6.421484962760772E-2</v>
      </c>
      <c r="O71" s="10">
        <v>0.5999996532094598</v>
      </c>
      <c r="P71" s="10">
        <v>0</v>
      </c>
      <c r="Q71" s="10">
        <v>0.39470767510054378</v>
      </c>
      <c r="R71" s="10">
        <v>0.55568934904657463</v>
      </c>
      <c r="S71" s="10">
        <v>-6.4236929364986622E-2</v>
      </c>
      <c r="T71" s="10">
        <v>-86.628944294368523</v>
      </c>
      <c r="U71" s="10">
        <v>-80.916813266485391</v>
      </c>
      <c r="V71" s="10">
        <v>47.524480213999958</v>
      </c>
      <c r="W71" s="10">
        <v>-5.0338382108723874</v>
      </c>
      <c r="X71" s="10">
        <v>-1.3299999237060547</v>
      </c>
      <c r="Y71" s="10">
        <v>0.45777787102593315</v>
      </c>
      <c r="Z71" s="10">
        <v>-19423100</v>
      </c>
      <c r="AA71" s="10">
        <v>-32841200</v>
      </c>
      <c r="AB71" s="10">
        <v>-88.642004769014349</v>
      </c>
      <c r="AC71" s="10">
        <v>77.620842371412238</v>
      </c>
      <c r="AD71" s="10">
        <v>26.01495016908104</v>
      </c>
      <c r="AE71" s="10">
        <v>-83.084495761471715</v>
      </c>
      <c r="AF71" s="10">
        <v>-85.611187274752481</v>
      </c>
      <c r="AG71" s="10">
        <v>0.46857145854404997</v>
      </c>
      <c r="AH71" s="10">
        <v>79.474422093892258</v>
      </c>
      <c r="AI71" s="10">
        <v>65.772439120117596</v>
      </c>
      <c r="AJ71" s="10">
        <v>8.8766667048136387</v>
      </c>
      <c r="AK71" s="10">
        <v>9.4850000143051147</v>
      </c>
      <c r="AL71" s="10">
        <v>9.3114999771118168</v>
      </c>
      <c r="AM71" s="10">
        <v>0.51531568939502226</v>
      </c>
      <c r="AN71" s="10">
        <v>11.338249979019166</v>
      </c>
      <c r="AO71" s="10">
        <v>10.342131355901861</v>
      </c>
      <c r="AP71" s="10">
        <v>8.2808685983217725</v>
      </c>
      <c r="AQ71" s="10">
        <v>-0.24754299197730392</v>
      </c>
      <c r="AR71" s="10">
        <v>1.1014913839895583E-3</v>
      </c>
      <c r="AS71" s="10">
        <v>0.22136742336323759</v>
      </c>
      <c r="AT71" s="10">
        <v>70.421364240318908</v>
      </c>
      <c r="AU71" s="10">
        <v>65.828239221932193</v>
      </c>
      <c r="AV71" s="10">
        <v>5.7332518184000207</v>
      </c>
      <c r="AW71" s="10">
        <v>28.730416138027351</v>
      </c>
      <c r="AX71" s="10">
        <v>-88.828973974684956</v>
      </c>
      <c r="AY71" s="10">
        <v>78.427243239943351</v>
      </c>
      <c r="AZ71" s="10">
        <v>9.2148933920236118</v>
      </c>
      <c r="BA71" s="10">
        <v>-0.11156736241574687</v>
      </c>
      <c r="BB71" s="10">
        <v>28.277679195349112</v>
      </c>
      <c r="BC71" s="10">
        <v>9.2721770358033577</v>
      </c>
      <c r="BD71" s="10">
        <v>9.3694152708837173</v>
      </c>
      <c r="BE71" s="10">
        <v>-0.13020691363060188</v>
      </c>
      <c r="BF71" s="10">
        <v>9.4222755274094343</v>
      </c>
      <c r="BG71" s="10">
        <v>9.7409121420660192</v>
      </c>
      <c r="BH71" s="10">
        <v>-0.17501956416036893</v>
      </c>
      <c r="BI71" s="10">
        <v>-39.802072898207342</v>
      </c>
      <c r="BJ71" s="10">
        <v>11.094079839105051</v>
      </c>
      <c r="BK71" s="10">
        <v>-0.33824847890894805</v>
      </c>
      <c r="BL71" s="10">
        <v>-0.15009849160607658</v>
      </c>
      <c r="BM71" s="10">
        <v>-9.4933701316158414E-2</v>
      </c>
      <c r="BN71" s="10">
        <v>-5.5164790289918164E-2</v>
      </c>
      <c r="BO71" s="10">
        <v>-87.403002242267789</v>
      </c>
      <c r="BP71" s="10">
        <v>78.622650218017782</v>
      </c>
      <c r="BQ71" s="10">
        <v>7569455.555555556</v>
      </c>
      <c r="BR71" s="10">
        <v>7126780</v>
      </c>
      <c r="BS71" s="10">
        <v>4877336</v>
      </c>
      <c r="BT71">
        <v>1.565983756354119</v>
      </c>
      <c r="BU71">
        <v>1.7253682588770807</v>
      </c>
      <c r="BV71" s="10">
        <v>14.864859640207076</v>
      </c>
      <c r="BW71" s="10">
        <v>33.145420684570531</v>
      </c>
      <c r="BX71" s="10">
        <v>33.145420684570531</v>
      </c>
      <c r="BY71" s="10">
        <v>51.048468717463514</v>
      </c>
      <c r="BZ71" s="10">
        <v>-88.736858919008156</v>
      </c>
      <c r="CA71" s="10">
        <v>88.141804611118175</v>
      </c>
      <c r="CB71" s="10">
        <v>1</v>
      </c>
      <c r="CC71" s="10">
        <v>0</v>
      </c>
      <c r="CD71" s="10">
        <v>1</v>
      </c>
      <c r="CE71" s="10">
        <v>0</v>
      </c>
      <c r="CF71" s="10">
        <v>0</v>
      </c>
      <c r="CG71" s="10">
        <v>0</v>
      </c>
      <c r="CH71" s="10">
        <v>-1</v>
      </c>
      <c r="CI71" s="10">
        <v>0</v>
      </c>
      <c r="CJ71" s="10">
        <v>-1</v>
      </c>
      <c r="CK71" s="10">
        <v>-1</v>
      </c>
      <c r="CL71" s="10">
        <v>0</v>
      </c>
      <c r="CM71" s="10">
        <v>-1</v>
      </c>
      <c r="CN71" s="10">
        <v>0</v>
      </c>
      <c r="CO71" s="10">
        <v>0</v>
      </c>
      <c r="CP71" s="10">
        <v>0</v>
      </c>
      <c r="CQ71" s="10">
        <v>0</v>
      </c>
      <c r="CR71" s="10">
        <v>1</v>
      </c>
      <c r="CS71" s="10">
        <v>1</v>
      </c>
      <c r="CT71" s="10">
        <v>0</v>
      </c>
      <c r="CU71" s="10">
        <v>0</v>
      </c>
      <c r="CV71" s="10">
        <v>0</v>
      </c>
      <c r="CW71" s="10">
        <v>0</v>
      </c>
      <c r="CX71" s="10" t="s">
        <v>155</v>
      </c>
      <c r="CY71" s="1" t="str">
        <f>VLOOKUP(bovespa_diario_last_date_1[[#This Row],[Stock]],Patterns!H:J,2,0)</f>
        <v>NO_PATTERN</v>
      </c>
      <c r="CZ71" s="5">
        <f>IF(RIGHT(bovespa_diario_last_date_1[[#This Row],[PATTERN]],4)="Bull",1,IF(RIGHT(bovespa_diario_last_date_1[[#This Row],[PATTERN]],4)="Bear",-1,0))</f>
        <v>0</v>
      </c>
    </row>
    <row r="72" spans="1:104" x14ac:dyDescent="0.25">
      <c r="A72" s="4">
        <v>44491</v>
      </c>
      <c r="B72" s="10">
        <v>37.349998474121094</v>
      </c>
      <c r="C72" s="10">
        <v>36.299999237060547</v>
      </c>
      <c r="D72" s="10">
        <v>37.340000152587891</v>
      </c>
      <c r="E72" s="10">
        <v>36.819999694824219</v>
      </c>
      <c r="F72" s="10">
        <v>4384400</v>
      </c>
      <c r="G72" s="10">
        <v>36.819999694824219</v>
      </c>
      <c r="H72" s="10">
        <v>37.349998474121094</v>
      </c>
      <c r="I72" s="10">
        <v>-1.4190061605065307E-2</v>
      </c>
      <c r="J72" s="10">
        <v>-1.4291703208691059E-2</v>
      </c>
      <c r="K72" s="10">
        <v>0.52000045776367188</v>
      </c>
      <c r="L72" s="10">
        <v>0.52000045776367188</v>
      </c>
      <c r="M72" s="10">
        <v>9.998321533203125E-3</v>
      </c>
      <c r="N72" s="10">
        <v>1.4023744844487559E-2</v>
      </c>
      <c r="O72" s="10">
        <v>1</v>
      </c>
      <c r="P72" s="10">
        <v>1.9227524483732533E-2</v>
      </c>
      <c r="Q72" s="10">
        <v>0.21877683391882974</v>
      </c>
      <c r="R72" s="10">
        <v>0.17588184643553872</v>
      </c>
      <c r="S72" s="10">
        <v>2.4190324371860854E-2</v>
      </c>
      <c r="T72" s="10">
        <v>-79.49014997255901</v>
      </c>
      <c r="U72" s="10">
        <v>21.136639811718723</v>
      </c>
      <c r="V72" s="10">
        <v>74.113913255357119</v>
      </c>
      <c r="W72" s="10">
        <v>58.800313793134727</v>
      </c>
      <c r="X72" s="10">
        <v>0.23999786376953125</v>
      </c>
      <c r="Y72" s="10">
        <v>1.3022219340006511</v>
      </c>
      <c r="Z72" s="10">
        <v>-4384400</v>
      </c>
      <c r="AA72" s="10">
        <v>9252900</v>
      </c>
      <c r="AB72" s="10">
        <v>-84.000790004892295</v>
      </c>
      <c r="AC72" s="10">
        <v>80.151597448512277</v>
      </c>
      <c r="AD72" s="10">
        <v>20.921371881135524</v>
      </c>
      <c r="AE72" s="10">
        <v>-84.551573353307759</v>
      </c>
      <c r="AF72" s="10">
        <v>-84.988892944547956</v>
      </c>
      <c r="AG72" s="10">
        <v>0.70357131958007813</v>
      </c>
      <c r="AH72" s="10">
        <v>10.350271333588275</v>
      </c>
      <c r="AI72" s="10">
        <v>-2.4378122013322399</v>
      </c>
      <c r="AJ72" s="10">
        <v>37.293332417805992</v>
      </c>
      <c r="AK72" s="10">
        <v>37.496249675750732</v>
      </c>
      <c r="AL72" s="10">
        <v>36.743499755859375</v>
      </c>
      <c r="AM72" s="10">
        <v>0.76130272014369338</v>
      </c>
      <c r="AN72" s="10">
        <v>36.005549411773679</v>
      </c>
      <c r="AO72" s="10">
        <v>38.266105196146761</v>
      </c>
      <c r="AP72" s="10">
        <v>35.220894315571989</v>
      </c>
      <c r="AQ72" s="10">
        <v>-3.9275000361442713E-2</v>
      </c>
      <c r="AR72" s="10">
        <v>4.3430347433626282E-2</v>
      </c>
      <c r="AS72" s="10">
        <v>8.287754026721858E-2</v>
      </c>
      <c r="AT72" s="10">
        <v>71.824618852000555</v>
      </c>
      <c r="AU72" s="10">
        <v>58.385238322664009</v>
      </c>
      <c r="AV72" s="10">
        <v>21.964752546287741</v>
      </c>
      <c r="AW72" s="10">
        <v>45.846729907908511</v>
      </c>
      <c r="AX72" s="10">
        <v>-88.029679598315582</v>
      </c>
      <c r="AY72" s="10">
        <v>85.770173756976618</v>
      </c>
      <c r="AZ72" s="10">
        <v>37.205886884733168</v>
      </c>
      <c r="BA72" s="10">
        <v>-1.048036917727605E-2</v>
      </c>
      <c r="BB72" s="10">
        <v>72.011187741720519</v>
      </c>
      <c r="BC72" s="10">
        <v>37.137477259752067</v>
      </c>
      <c r="BD72" s="10">
        <v>37.077585248275092</v>
      </c>
      <c r="BE72" s="10">
        <v>-6.9958054205818496E-3</v>
      </c>
      <c r="BF72" s="10">
        <v>37.113773536098698</v>
      </c>
      <c r="BG72" s="10">
        <v>37.395922891573356</v>
      </c>
      <c r="BH72" s="10">
        <v>-1.5641586135865582E-2</v>
      </c>
      <c r="BI72" s="10">
        <v>-18.638774877476578</v>
      </c>
      <c r="BJ72" s="10">
        <v>35.677454947717315</v>
      </c>
      <c r="BK72" s="10">
        <v>3.1030547435542503E-2</v>
      </c>
      <c r="BL72" s="10">
        <v>2.370372365336948E-2</v>
      </c>
      <c r="BM72" s="10">
        <v>-0.11537448478195397</v>
      </c>
      <c r="BN72" s="10">
        <v>0.13907820843532345</v>
      </c>
      <c r="BO72" s="10">
        <v>-86.742557758294325</v>
      </c>
      <c r="BP72" s="10">
        <v>86.155075159455421</v>
      </c>
      <c r="BQ72" s="10">
        <v>2584822.222222222</v>
      </c>
      <c r="BR72" s="10">
        <v>2439360</v>
      </c>
      <c r="BS72" s="10">
        <v>2037514.5</v>
      </c>
      <c r="BT72">
        <v>0.69620949646225405</v>
      </c>
      <c r="BU72">
        <v>0.79735668372032009</v>
      </c>
      <c r="BV72" s="10">
        <v>57.003262995444729</v>
      </c>
      <c r="BW72" s="10">
        <v>72.421268534004696</v>
      </c>
      <c r="BX72" s="10">
        <v>72.421268534004696</v>
      </c>
      <c r="BY72" s="10">
        <v>79.515032228189398</v>
      </c>
      <c r="BZ72" s="10">
        <v>-66.445162266387726</v>
      </c>
      <c r="CA72" s="10">
        <v>81.615459595674679</v>
      </c>
      <c r="CB72" s="10">
        <v>1</v>
      </c>
      <c r="CC72" s="10">
        <v>0</v>
      </c>
      <c r="CD72" s="10">
        <v>1</v>
      </c>
      <c r="CE72" s="10">
        <v>0</v>
      </c>
      <c r="CF72" s="10">
        <v>0</v>
      </c>
      <c r="CG72" s="10">
        <v>0</v>
      </c>
      <c r="CH72" s="10">
        <v>0</v>
      </c>
      <c r="CI72" s="10">
        <v>0</v>
      </c>
      <c r="CJ72" s="10">
        <v>0</v>
      </c>
      <c r="CK72" s="10">
        <v>-1</v>
      </c>
      <c r="CL72" s="10">
        <v>0</v>
      </c>
      <c r="CM72" s="10">
        <v>-1</v>
      </c>
      <c r="CN72" s="10">
        <v>0</v>
      </c>
      <c r="CO72" s="10">
        <v>0</v>
      </c>
      <c r="CP72" s="10">
        <v>0</v>
      </c>
      <c r="CQ72" s="10">
        <v>0</v>
      </c>
      <c r="CR72" s="10">
        <v>0</v>
      </c>
      <c r="CS72" s="10">
        <v>0</v>
      </c>
      <c r="CT72" s="10">
        <v>0</v>
      </c>
      <c r="CU72" s="10">
        <v>0</v>
      </c>
      <c r="CV72" s="10">
        <v>0</v>
      </c>
      <c r="CW72" s="10">
        <v>0</v>
      </c>
      <c r="CX72" s="10" t="s">
        <v>337</v>
      </c>
      <c r="CY72" s="1" t="str">
        <f>VLOOKUP(bovespa_diario_last_date_1[[#This Row],[Stock]],Patterns!H:J,2,0)</f>
        <v>CDLSPINNINGTOP_Bear</v>
      </c>
      <c r="CZ72" s="5">
        <f>IF(RIGHT(bovespa_diario_last_date_1[[#This Row],[PATTERN]],4)="Bull",1,IF(RIGHT(bovespa_diario_last_date_1[[#This Row],[PATTERN]],4)="Bear",-1,0))</f>
        <v>-1</v>
      </c>
    </row>
    <row r="73" spans="1:104" x14ac:dyDescent="0.25">
      <c r="A73" s="4">
        <v>44491</v>
      </c>
      <c r="B73" s="10">
        <v>19.159999847412109</v>
      </c>
      <c r="C73" s="10">
        <v>18.319999694824219</v>
      </c>
      <c r="D73" s="10">
        <v>18.950000762939453</v>
      </c>
      <c r="E73" s="10">
        <v>18.809999465942383</v>
      </c>
      <c r="F73" s="10">
        <v>2020000</v>
      </c>
      <c r="G73" s="10">
        <v>18.809999465942383</v>
      </c>
      <c r="H73" s="10">
        <v>19.040000915527344</v>
      </c>
      <c r="I73" s="10">
        <v>-1.2079907485581742E-2</v>
      </c>
      <c r="J73" s="10">
        <v>-1.2153462526916674E-2</v>
      </c>
      <c r="K73" s="10">
        <v>0.14000129699707031</v>
      </c>
      <c r="L73" s="10">
        <v>0.48999977111816406</v>
      </c>
      <c r="M73" s="10">
        <v>0.20999908447265625</v>
      </c>
      <c r="N73" s="10">
        <v>7.4153228892189591E-3</v>
      </c>
      <c r="O73" s="10">
        <v>3.4999659405185217</v>
      </c>
      <c r="P73" s="10">
        <v>1.4999795643111129</v>
      </c>
      <c r="Q73" s="10">
        <v>0.27063839682609536</v>
      </c>
      <c r="R73" s="10">
        <v>0.2452347345541771</v>
      </c>
      <c r="S73" s="10">
        <v>5.3305235672378333E-3</v>
      </c>
      <c r="T73" s="10">
        <v>-83.434051519115314</v>
      </c>
      <c r="U73" s="10">
        <v>-66.94049669276518</v>
      </c>
      <c r="V73" s="10">
        <v>60.034463652734594</v>
      </c>
      <c r="W73" s="10">
        <v>7.5344538687124958</v>
      </c>
      <c r="X73" s="10">
        <v>-0.31000137329101563</v>
      </c>
      <c r="Y73" s="10">
        <v>0.58111106024848092</v>
      </c>
      <c r="Z73" s="10">
        <v>-2020000</v>
      </c>
      <c r="AA73" s="10">
        <v>-50954500</v>
      </c>
      <c r="AB73" s="10">
        <v>-80.197797669247436</v>
      </c>
      <c r="AC73" s="10">
        <v>44.948979588303501</v>
      </c>
      <c r="AD73" s="10">
        <v>15.858466181217917</v>
      </c>
      <c r="AE73" s="10">
        <v>-63.630914117217422</v>
      </c>
      <c r="AF73" s="10">
        <v>55.016845814590539</v>
      </c>
      <c r="AG73" s="10">
        <v>0.50571455274309429</v>
      </c>
      <c r="AH73" s="10">
        <v>37.621817267490002</v>
      </c>
      <c r="AI73" s="10">
        <v>-35.366403724327235</v>
      </c>
      <c r="AJ73" s="10">
        <v>19.146666844685871</v>
      </c>
      <c r="AK73" s="10">
        <v>19.597500085830688</v>
      </c>
      <c r="AL73" s="10">
        <v>19.329000091552736</v>
      </c>
      <c r="AM73" s="10">
        <v>0.49951443910669957</v>
      </c>
      <c r="AN73" s="10">
        <v>20.278894433975221</v>
      </c>
      <c r="AO73" s="10">
        <v>20.328028969766134</v>
      </c>
      <c r="AP73" s="10">
        <v>18.329971213339338</v>
      </c>
      <c r="AQ73" s="10">
        <v>-8.0703325195320391E-2</v>
      </c>
      <c r="AR73" s="10">
        <v>2.5519844031478583E-2</v>
      </c>
      <c r="AS73" s="10">
        <v>0.10337098385653162</v>
      </c>
      <c r="AT73" s="10">
        <v>-36.235971341289869</v>
      </c>
      <c r="AU73" s="10">
        <v>30.594131603797681</v>
      </c>
      <c r="AV73" s="10">
        <v>12.289914758357511</v>
      </c>
      <c r="AW73" s="10">
        <v>39.23503400820703</v>
      </c>
      <c r="AX73" s="10">
        <v>-88.82245159700669</v>
      </c>
      <c r="AY73" s="10">
        <v>80.354021003243815</v>
      </c>
      <c r="AZ73" s="10">
        <v>19.342575225101523</v>
      </c>
      <c r="BA73" s="10">
        <v>-2.831343829240552E-2</v>
      </c>
      <c r="BB73" s="10">
        <v>54.757175404426675</v>
      </c>
      <c r="BC73" s="10">
        <v>19.343706654904359</v>
      </c>
      <c r="BD73" s="10">
        <v>19.307348580605169</v>
      </c>
      <c r="BE73" s="10">
        <v>-2.6440676703010663E-2</v>
      </c>
      <c r="BF73" s="10">
        <v>19.295593194616334</v>
      </c>
      <c r="BG73" s="10">
        <v>19.338005661005521</v>
      </c>
      <c r="BH73" s="10">
        <v>-2.8070505585029548E-2</v>
      </c>
      <c r="BI73" s="10">
        <v>12.387036900334792</v>
      </c>
      <c r="BJ73" s="10">
        <v>20.734419746028941</v>
      </c>
      <c r="BK73" s="10">
        <v>-0.10230836441919826</v>
      </c>
      <c r="BL73" s="10">
        <v>4.8113460288025323E-2</v>
      </c>
      <c r="BM73" s="10">
        <v>7.3239797245494537E-2</v>
      </c>
      <c r="BN73" s="10">
        <v>-2.5126336957469214E-2</v>
      </c>
      <c r="BO73" s="10">
        <v>-84.088759396480356</v>
      </c>
      <c r="BP73" s="10">
        <v>64.5427218659933</v>
      </c>
      <c r="BQ73" s="10">
        <v>1205111.111111111</v>
      </c>
      <c r="BR73" s="10">
        <v>1502020</v>
      </c>
      <c r="BS73" s="10">
        <v>1949358.5</v>
      </c>
      <c r="BT73">
        <v>0.67619398856721391</v>
      </c>
      <c r="BU73">
        <v>0.34485559446611891</v>
      </c>
      <c r="BV73" s="10">
        <v>30.150747507509578</v>
      </c>
      <c r="BW73" s="10">
        <v>47.068691968886903</v>
      </c>
      <c r="BX73" s="10">
        <v>47.068691968886903</v>
      </c>
      <c r="BY73" s="10">
        <v>62.479065508584341</v>
      </c>
      <c r="BZ73" s="10">
        <v>-87.176764577253977</v>
      </c>
      <c r="CA73" s="10">
        <v>85.76547355076174</v>
      </c>
      <c r="CB73" s="10">
        <v>1</v>
      </c>
      <c r="CC73" s="10">
        <v>0</v>
      </c>
      <c r="CD73" s="10">
        <v>1</v>
      </c>
      <c r="CE73" s="10">
        <v>1</v>
      </c>
      <c r="CF73" s="10">
        <v>0</v>
      </c>
      <c r="CG73" s="10">
        <v>1</v>
      </c>
      <c r="CH73" s="10">
        <v>-1</v>
      </c>
      <c r="CI73" s="10">
        <v>0</v>
      </c>
      <c r="CJ73" s="10">
        <v>-1</v>
      </c>
      <c r="CK73" s="10">
        <v>-1</v>
      </c>
      <c r="CL73" s="10">
        <v>0</v>
      </c>
      <c r="CM73" s="10">
        <v>-1</v>
      </c>
      <c r="CN73" s="10">
        <v>0</v>
      </c>
      <c r="CO73" s="10">
        <v>0</v>
      </c>
      <c r="CP73" s="10">
        <v>0</v>
      </c>
      <c r="CQ73" s="10">
        <v>0</v>
      </c>
      <c r="CR73" s="10">
        <v>0</v>
      </c>
      <c r="CS73" s="10">
        <v>0</v>
      </c>
      <c r="CT73" s="10">
        <v>0</v>
      </c>
      <c r="CU73" s="10">
        <v>0</v>
      </c>
      <c r="CV73" s="10">
        <v>0</v>
      </c>
      <c r="CW73" s="10">
        <v>0</v>
      </c>
      <c r="CX73" s="10" t="s">
        <v>156</v>
      </c>
      <c r="CY73" s="1" t="str">
        <f>VLOOKUP(bovespa_diario_last_date_1[[#This Row],[Stock]],Patterns!H:J,2,0)</f>
        <v>CDLCLOSINGMARUBOZU_Bull</v>
      </c>
      <c r="CZ73" s="5">
        <f>IF(RIGHT(bovespa_diario_last_date_1[[#This Row],[PATTERN]],4)="Bull",1,IF(RIGHT(bovespa_diario_last_date_1[[#This Row],[PATTERN]],4)="Bear",-1,0))</f>
        <v>1</v>
      </c>
    </row>
    <row r="74" spans="1:104" x14ac:dyDescent="0.25">
      <c r="A74" s="4">
        <v>44491</v>
      </c>
      <c r="B74" s="10">
        <v>24.770000457763672</v>
      </c>
      <c r="C74" s="10">
        <v>23.799999237060547</v>
      </c>
      <c r="D74" s="10">
        <v>24.319999694824219</v>
      </c>
      <c r="E74" s="10">
        <v>24.629999160766602</v>
      </c>
      <c r="F74" s="10">
        <v>7667700</v>
      </c>
      <c r="G74" s="10">
        <v>24.629999160766602</v>
      </c>
      <c r="H74" s="10">
        <v>24.569999694824219</v>
      </c>
      <c r="I74" s="10">
        <v>2.4419807361666379E-3</v>
      </c>
      <c r="J74" s="10">
        <v>2.4390039463993386E-3</v>
      </c>
      <c r="K74" s="10">
        <v>0.30999946594238281</v>
      </c>
      <c r="L74" s="10">
        <v>0.52000045776367188</v>
      </c>
      <c r="M74" s="10">
        <v>0.14000129699707031</v>
      </c>
      <c r="N74" s="10">
        <v>1.2665964175277045E-2</v>
      </c>
      <c r="O74" s="10">
        <v>1.6774237213051209</v>
      </c>
      <c r="P74" s="10">
        <v>0.45161786511945562</v>
      </c>
      <c r="Q74" s="10">
        <v>0.22579997610342856</v>
      </c>
      <c r="R74" s="10">
        <v>0.23416372221397053</v>
      </c>
      <c r="S74" s="10">
        <v>4.0602079250676812E-2</v>
      </c>
      <c r="T74" s="10">
        <v>69.517703741312474</v>
      </c>
      <c r="U74" s="10">
        <v>58.565168073345284</v>
      </c>
      <c r="V74" s="10">
        <v>79.477465184552742</v>
      </c>
      <c r="W74" s="10">
        <v>69.37076609773024</v>
      </c>
      <c r="X74" s="10">
        <v>0.68999862670898438</v>
      </c>
      <c r="Y74" s="10">
        <v>0.93999968634711373</v>
      </c>
      <c r="Z74" s="10">
        <v>7667700</v>
      </c>
      <c r="AA74" s="10">
        <v>14510500</v>
      </c>
      <c r="AB74" s="10">
        <v>89.027154887945741</v>
      </c>
      <c r="AC74" s="10">
        <v>88.016677476553923</v>
      </c>
      <c r="AD74" s="10">
        <v>15.276041976053307</v>
      </c>
      <c r="AE74" s="10">
        <v>85.086348566448223</v>
      </c>
      <c r="AF74" s="10">
        <v>80.47410660894306</v>
      </c>
      <c r="AG74" s="10">
        <v>0.69071442740304134</v>
      </c>
      <c r="AH74" s="10">
        <v>72.697537663076957</v>
      </c>
      <c r="AI74" s="10">
        <v>31.637190219859772</v>
      </c>
      <c r="AJ74" s="10">
        <v>24.643332799275715</v>
      </c>
      <c r="AK74" s="10">
        <v>24.507499694824219</v>
      </c>
      <c r="AL74" s="10">
        <v>24.021999835968018</v>
      </c>
      <c r="AM74" s="10">
        <v>0.52828010785609625</v>
      </c>
      <c r="AN74" s="10">
        <v>25.016757726669312</v>
      </c>
      <c r="AO74" s="10">
        <v>25.07856005168021</v>
      </c>
      <c r="AP74" s="10">
        <v>22.965439620255825</v>
      </c>
      <c r="AQ74" s="10">
        <v>-1.8211973455042819E-2</v>
      </c>
      <c r="AR74" s="10">
        <v>6.7582606464813511E-2</v>
      </c>
      <c r="AS74" s="10">
        <v>8.7966049698344442E-2</v>
      </c>
      <c r="AT74" s="10">
        <v>69.014872186372557</v>
      </c>
      <c r="AU74" s="10">
        <v>53.111832449843391</v>
      </c>
      <c r="AV74" s="10">
        <v>63.142174418317644</v>
      </c>
      <c r="AW74" s="10">
        <v>60.205043850899898</v>
      </c>
      <c r="AX74" s="10">
        <v>75.348270967452365</v>
      </c>
      <c r="AY74" s="10">
        <v>86.271952759298799</v>
      </c>
      <c r="AZ74" s="10">
        <v>24.423256957165165</v>
      </c>
      <c r="BA74" s="10">
        <v>8.3939184184284622E-3</v>
      </c>
      <c r="BB74" s="10">
        <v>78.055442321350299</v>
      </c>
      <c r="BC74" s="10">
        <v>24.341452072589515</v>
      </c>
      <c r="BD74" s="10">
        <v>24.189698652918707</v>
      </c>
      <c r="BE74" s="10">
        <v>1.7876594512810769E-2</v>
      </c>
      <c r="BF74" s="10">
        <v>24.138691754744713</v>
      </c>
      <c r="BG74" s="10">
        <v>24.042286156049389</v>
      </c>
      <c r="BH74" s="10">
        <v>2.3861673761377423E-2</v>
      </c>
      <c r="BI74" s="10">
        <v>56.877376643265258</v>
      </c>
      <c r="BJ74" s="10">
        <v>24.70033813078447</v>
      </c>
      <c r="BK74" s="10">
        <v>-2.8558251081840062E-3</v>
      </c>
      <c r="BL74" s="10">
        <v>0.20276031784480253</v>
      </c>
      <c r="BM74" s="10">
        <v>0.11852699540955663</v>
      </c>
      <c r="BN74" s="10">
        <v>8.4233322435245894E-2</v>
      </c>
      <c r="BO74" s="10">
        <v>32.512999820350672</v>
      </c>
      <c r="BP74" s="10">
        <v>82.066822574240248</v>
      </c>
      <c r="BQ74" s="10">
        <v>4405133.333333333</v>
      </c>
      <c r="BR74" s="10">
        <v>3208615</v>
      </c>
      <c r="BS74" s="10">
        <v>2233919</v>
      </c>
      <c r="BT74">
        <v>0.74062835782496195</v>
      </c>
      <c r="BU74">
        <v>1.3897226685033885</v>
      </c>
      <c r="BV74" s="10">
        <v>72.516545625759065</v>
      </c>
      <c r="BW74" s="10">
        <v>72.958057046593424</v>
      </c>
      <c r="BX74" s="10">
        <v>72.958057046593424</v>
      </c>
      <c r="BY74" s="10">
        <v>73.696786703976002</v>
      </c>
      <c r="BZ74" s="10">
        <v>-72.418917316872196</v>
      </c>
      <c r="CA74" s="10">
        <v>84.569110184831729</v>
      </c>
      <c r="CB74" s="10">
        <v>0</v>
      </c>
      <c r="CC74" s="10">
        <v>0</v>
      </c>
      <c r="CD74" s="10">
        <v>0</v>
      </c>
      <c r="CE74" s="10">
        <v>0</v>
      </c>
      <c r="CF74" s="10">
        <v>0</v>
      </c>
      <c r="CG74" s="10">
        <v>0</v>
      </c>
      <c r="CH74" s="10">
        <v>0</v>
      </c>
      <c r="CI74" s="10">
        <v>0</v>
      </c>
      <c r="CJ74" s="10">
        <v>0</v>
      </c>
      <c r="CK74" s="10">
        <v>0</v>
      </c>
      <c r="CL74" s="10">
        <v>0</v>
      </c>
      <c r="CM74" s="10">
        <v>0</v>
      </c>
      <c r="CN74" s="10">
        <v>0</v>
      </c>
      <c r="CO74" s="10">
        <v>0</v>
      </c>
      <c r="CP74" s="10">
        <v>0</v>
      </c>
      <c r="CQ74" s="10">
        <v>0</v>
      </c>
      <c r="CR74" s="10">
        <v>0</v>
      </c>
      <c r="CS74" s="10">
        <v>0</v>
      </c>
      <c r="CT74" s="10">
        <v>0</v>
      </c>
      <c r="CU74" s="10">
        <v>0</v>
      </c>
      <c r="CV74" s="10">
        <v>0</v>
      </c>
      <c r="CW74" s="10">
        <v>0</v>
      </c>
      <c r="CX74" s="10" t="s">
        <v>157</v>
      </c>
      <c r="CY74" s="1" t="str">
        <f>VLOOKUP(bovespa_diario_last_date_1[[#This Row],[Stock]],Patterns!H:J,2,0)</f>
        <v>CDLRICKSHAWMAN_Bull</v>
      </c>
      <c r="CZ74" s="5">
        <f>IF(RIGHT(bovespa_diario_last_date_1[[#This Row],[PATTERN]],4)="Bull",1,IF(RIGHT(bovespa_diario_last_date_1[[#This Row],[PATTERN]],4)="Bear",-1,0))</f>
        <v>1</v>
      </c>
    </row>
    <row r="75" spans="1:104" x14ac:dyDescent="0.25">
      <c r="A75" s="4">
        <v>44491</v>
      </c>
      <c r="B75" s="10">
        <v>3.0499999523162842</v>
      </c>
      <c r="C75" s="10">
        <v>2.7999999523162842</v>
      </c>
      <c r="D75" s="10">
        <v>3.0099999904632568</v>
      </c>
      <c r="E75" s="10">
        <v>2.9700000286102295</v>
      </c>
      <c r="F75" s="10">
        <v>8860000</v>
      </c>
      <c r="G75" s="10">
        <v>2.9700000286102295</v>
      </c>
      <c r="H75" s="10">
        <v>3.0499999523162842</v>
      </c>
      <c r="I75" s="10">
        <v>-2.6229483592384861E-2</v>
      </c>
      <c r="J75" s="10">
        <v>-2.6579612537632805E-2</v>
      </c>
      <c r="K75" s="10">
        <v>3.9999961853027344E-2</v>
      </c>
      <c r="L75" s="10">
        <v>0.17000007629394531</v>
      </c>
      <c r="M75" s="10">
        <v>3.9999961853027344E-2</v>
      </c>
      <c r="N75" s="10">
        <v>1.3377913620550373E-2</v>
      </c>
      <c r="O75" s="10">
        <v>4.2500059604701619</v>
      </c>
      <c r="P75" s="10">
        <v>1</v>
      </c>
      <c r="Q75" s="10">
        <v>0.50704701322247669</v>
      </c>
      <c r="R75" s="10">
        <v>0.41004448366311075</v>
      </c>
      <c r="S75" s="10">
        <v>-7.4588862259159866E-2</v>
      </c>
      <c r="T75" s="10">
        <v>-78.469634732405297</v>
      </c>
      <c r="U75" s="10">
        <v>-71.970447930667788</v>
      </c>
      <c r="V75" s="10">
        <v>-52.277465805014444</v>
      </c>
      <c r="W75" s="10">
        <v>-42.023826120210266</v>
      </c>
      <c r="X75" s="10">
        <v>-0.32999992370605469</v>
      </c>
      <c r="Y75" s="10">
        <v>-7.0000039206610784E-2</v>
      </c>
      <c r="Z75" s="10">
        <v>-8860000</v>
      </c>
      <c r="AA75" s="10">
        <v>-38849300</v>
      </c>
      <c r="AB75" s="10">
        <v>-83.942309855887061</v>
      </c>
      <c r="AC75" s="10">
        <v>-71.069649516005242</v>
      </c>
      <c r="AD75" s="10">
        <v>20.525155254804563</v>
      </c>
      <c r="AE75" s="10">
        <v>84.356579603729585</v>
      </c>
      <c r="AF75" s="10">
        <v>-80.929511740989113</v>
      </c>
      <c r="AG75" s="10">
        <v>0.13714284556252615</v>
      </c>
      <c r="AH75" s="10">
        <v>2.4916693216031542</v>
      </c>
      <c r="AI75" s="10">
        <v>-1.5886732719134098</v>
      </c>
      <c r="AJ75" s="10">
        <v>3.0366666316986084</v>
      </c>
      <c r="AK75" s="10">
        <v>3.1824999749660492</v>
      </c>
      <c r="AL75" s="10">
        <v>3.2450000047683716</v>
      </c>
      <c r="AM75" s="10">
        <v>0.11695703862636088</v>
      </c>
      <c r="AN75" s="10">
        <v>3.6957499969005583</v>
      </c>
      <c r="AO75" s="10">
        <v>3.4789140820210935</v>
      </c>
      <c r="AP75" s="10">
        <v>3.0110859275156496</v>
      </c>
      <c r="AQ75" s="10">
        <v>-0.17135153148432908</v>
      </c>
      <c r="AR75" s="10">
        <v>-1.3833635861830519E-2</v>
      </c>
      <c r="AS75" s="10">
        <v>0.14416892259414266</v>
      </c>
      <c r="AT75" s="10">
        <v>75.913536564230114</v>
      </c>
      <c r="AU75" s="10">
        <v>21.314587517951331</v>
      </c>
      <c r="AV75" s="10">
        <v>6.045708524040279</v>
      </c>
      <c r="AW75" s="10">
        <v>29.569126079976428</v>
      </c>
      <c r="AX75" s="10">
        <v>-87.596505007204286</v>
      </c>
      <c r="AY75" s="10">
        <v>-79.71321938874209</v>
      </c>
      <c r="AZ75" s="10">
        <v>3.1453963016015254</v>
      </c>
      <c r="BA75" s="10">
        <v>-5.9055983603262849E-2</v>
      </c>
      <c r="BB75" s="10">
        <v>-49.88589440089099</v>
      </c>
      <c r="BC75" s="10">
        <v>3.1736798496127747</v>
      </c>
      <c r="BD75" s="10">
        <v>3.23358581244959</v>
      </c>
      <c r="BE75" s="10">
        <v>-8.874942131320511E-2</v>
      </c>
      <c r="BF75" s="10">
        <v>3.2630808429833111</v>
      </c>
      <c r="BG75" s="10">
        <v>3.3937135307565685</v>
      </c>
      <c r="BH75" s="10">
        <v>-0.14266447746285371</v>
      </c>
      <c r="BI75" s="10">
        <v>-37.408963374623184</v>
      </c>
      <c r="BJ75" s="10">
        <v>3.7516968389657932</v>
      </c>
      <c r="BK75" s="10">
        <v>-0.26319757670889582</v>
      </c>
      <c r="BL75" s="10">
        <v>-8.9400993370536419E-2</v>
      </c>
      <c r="BM75" s="10">
        <v>-6.9359159324120401E-2</v>
      </c>
      <c r="BN75" s="10">
        <v>-2.0041834046416018E-2</v>
      </c>
      <c r="BO75" s="10">
        <v>-79.787454071470151</v>
      </c>
      <c r="BP75" s="10">
        <v>-47.976435941902722</v>
      </c>
      <c r="BQ75" s="10">
        <v>3876188.888888889</v>
      </c>
      <c r="BR75" s="10">
        <v>3219885</v>
      </c>
      <c r="BS75" s="10">
        <v>5258826</v>
      </c>
      <c r="BT75">
        <v>1.2857503217650783</v>
      </c>
      <c r="BU75">
        <v>1.7516510682834947</v>
      </c>
      <c r="BV75" s="10">
        <v>27.419361661300329</v>
      </c>
      <c r="BW75" s="10">
        <v>19.10468920532816</v>
      </c>
      <c r="BX75" s="10">
        <v>19.10468920532816</v>
      </c>
      <c r="BY75" s="10">
        <v>17.51151454347535</v>
      </c>
      <c r="BZ75" s="10">
        <v>-88.781443639715548</v>
      </c>
      <c r="CA75" s="10">
        <v>-66.065361927351859</v>
      </c>
      <c r="CB75" s="10">
        <v>0</v>
      </c>
      <c r="CC75" s="10">
        <v>0</v>
      </c>
      <c r="CD75" s="10">
        <v>0</v>
      </c>
      <c r="CE75" s="10">
        <v>0</v>
      </c>
      <c r="CF75" s="10">
        <v>0</v>
      </c>
      <c r="CG75" s="10">
        <v>0</v>
      </c>
      <c r="CH75" s="10">
        <v>0</v>
      </c>
      <c r="CI75" s="10">
        <v>0</v>
      </c>
      <c r="CJ75" s="10">
        <v>0</v>
      </c>
      <c r="CK75" s="10">
        <v>0</v>
      </c>
      <c r="CL75" s="10">
        <v>0</v>
      </c>
      <c r="CM75" s="10">
        <v>0</v>
      </c>
      <c r="CN75" s="10">
        <v>0</v>
      </c>
      <c r="CO75" s="10">
        <v>0</v>
      </c>
      <c r="CP75" s="10">
        <v>0</v>
      </c>
      <c r="CQ75" s="10">
        <v>0</v>
      </c>
      <c r="CR75" s="10">
        <v>0</v>
      </c>
      <c r="CS75" s="10">
        <v>0</v>
      </c>
      <c r="CT75" s="10">
        <v>0</v>
      </c>
      <c r="CU75" s="10">
        <v>0</v>
      </c>
      <c r="CV75" s="10">
        <v>0</v>
      </c>
      <c r="CW75" s="10">
        <v>0</v>
      </c>
      <c r="CX75" s="10" t="s">
        <v>158</v>
      </c>
      <c r="CY75" s="1" t="str">
        <f>VLOOKUP(bovespa_diario_last_date_1[[#This Row],[Stock]],Patterns!H:J,2,0)</f>
        <v>CDLRICKSHAWMAN_Bull</v>
      </c>
      <c r="CZ75" s="5">
        <f>IF(RIGHT(bovespa_diario_last_date_1[[#This Row],[PATTERN]],4)="Bull",1,IF(RIGHT(bovespa_diario_last_date_1[[#This Row],[PATTERN]],4)="Bear",-1,0))</f>
        <v>1</v>
      </c>
    </row>
    <row r="76" spans="1:104" x14ac:dyDescent="0.25">
      <c r="A76" s="4">
        <v>44491</v>
      </c>
      <c r="B76" s="10">
        <v>19.770000457763672</v>
      </c>
      <c r="C76" s="10">
        <v>18.829999923706055</v>
      </c>
      <c r="D76" s="10">
        <v>19.649999618530273</v>
      </c>
      <c r="E76" s="10">
        <v>19.5</v>
      </c>
      <c r="F76" s="10">
        <v>4106300</v>
      </c>
      <c r="G76" s="10">
        <v>19.5</v>
      </c>
      <c r="H76" s="10">
        <v>20.020000457763672</v>
      </c>
      <c r="I76" s="10">
        <v>-2.5974048245439363E-2</v>
      </c>
      <c r="J76" s="10">
        <v>-2.6317331182691417E-2</v>
      </c>
      <c r="K76" s="10">
        <v>0.14999961853027344</v>
      </c>
      <c r="L76" s="10">
        <v>0.67000007629394531</v>
      </c>
      <c r="M76" s="10">
        <v>0.12000083923339844</v>
      </c>
      <c r="N76" s="10">
        <v>7.6628158361093015E-3</v>
      </c>
      <c r="O76" s="10">
        <v>4.4666785346438971</v>
      </c>
      <c r="P76" s="10">
        <v>0.80000762941393389</v>
      </c>
      <c r="Q76" s="10">
        <v>0.2692622963726084</v>
      </c>
      <c r="R76" s="10">
        <v>0.23293050503314686</v>
      </c>
      <c r="S76" s="10">
        <v>-8.0752486000509216E-2</v>
      </c>
      <c r="T76" s="10">
        <v>-86.083939131081323</v>
      </c>
      <c r="U76" s="10">
        <v>-82.470731840057937</v>
      </c>
      <c r="V76" s="10">
        <v>-71.445630669432148</v>
      </c>
      <c r="W76" s="10">
        <v>-76.039502501481209</v>
      </c>
      <c r="X76" s="10">
        <v>-1.7700004577636719</v>
      </c>
      <c r="Y76" s="10">
        <v>-0.74555502997504342</v>
      </c>
      <c r="Z76" s="10">
        <v>-4106300</v>
      </c>
      <c r="AA76" s="10">
        <v>-55249300</v>
      </c>
      <c r="AB76" s="10">
        <v>-86.391493447248948</v>
      </c>
      <c r="AC76" s="10">
        <v>68.931642494383937</v>
      </c>
      <c r="AD76" s="10">
        <v>36.663061304043879</v>
      </c>
      <c r="AE76" s="10">
        <v>85.315175857763563</v>
      </c>
      <c r="AF76" s="10">
        <v>82.480716083817185</v>
      </c>
      <c r="AG76" s="10">
        <v>0.67500019073486328</v>
      </c>
      <c r="AH76" s="10">
        <v>81.954044633415137</v>
      </c>
      <c r="AI76" s="10">
        <v>55.479622123828882</v>
      </c>
      <c r="AJ76" s="10">
        <v>19.963333765665691</v>
      </c>
      <c r="AK76" s="10">
        <v>20.783750295639038</v>
      </c>
      <c r="AL76" s="10">
        <v>21.377000045776366</v>
      </c>
      <c r="AM76" s="10">
        <v>0.87430026589471843</v>
      </c>
      <c r="AN76" s="10">
        <v>25.0383304977417</v>
      </c>
      <c r="AO76" s="10">
        <v>23.125600577565802</v>
      </c>
      <c r="AP76" s="10">
        <v>19.628399513986931</v>
      </c>
      <c r="AQ76" s="10">
        <v>-0.18592823474696418</v>
      </c>
      <c r="AR76" s="10">
        <v>-6.584590460868265E-3</v>
      </c>
      <c r="AS76" s="10">
        <v>0.16359643804509613</v>
      </c>
      <c r="AT76" s="10">
        <v>-52.91370993323229</v>
      </c>
      <c r="AU76" s="10">
        <v>-55.446380829583624</v>
      </c>
      <c r="AV76" s="10">
        <v>4.7191170105029983</v>
      </c>
      <c r="AW76" s="10">
        <v>15.615532918861106</v>
      </c>
      <c r="AX76" s="10">
        <v>-88.326837186520876</v>
      </c>
      <c r="AY76" s="10">
        <v>52.230620041917376</v>
      </c>
      <c r="AZ76" s="10">
        <v>20.623540803586444</v>
      </c>
      <c r="BA76" s="10">
        <v>-5.761747710699712E-2</v>
      </c>
      <c r="BB76" s="10">
        <v>-77.517829758403764</v>
      </c>
      <c r="BC76" s="10">
        <v>20.852211258928961</v>
      </c>
      <c r="BD76" s="10">
        <v>21.410079011921898</v>
      </c>
      <c r="BE76" s="10">
        <v>-9.795276984214861E-2</v>
      </c>
      <c r="BF76" s="10">
        <v>21.656787958320905</v>
      </c>
      <c r="BG76" s="10">
        <v>22.50010572140247</v>
      </c>
      <c r="BH76" s="10">
        <v>-0.15385157545653691</v>
      </c>
      <c r="BI76" s="10">
        <v>-77.350848390029739</v>
      </c>
      <c r="BJ76" s="10">
        <v>24.447801561338967</v>
      </c>
      <c r="BK76" s="10">
        <v>-0.25373341340199829</v>
      </c>
      <c r="BL76" s="10">
        <v>-0.80457669939194432</v>
      </c>
      <c r="BM76" s="10">
        <v>-0.68102277364770658</v>
      </c>
      <c r="BN76" s="10">
        <v>-0.12355392574423774</v>
      </c>
      <c r="BO76" s="10">
        <v>-83.058711274472046</v>
      </c>
      <c r="BP76" s="10">
        <v>77.183091441952712</v>
      </c>
      <c r="BQ76" s="10">
        <v>1815100</v>
      </c>
      <c r="BR76" s="10">
        <v>2184830</v>
      </c>
      <c r="BS76" s="10">
        <v>1840021</v>
      </c>
      <c r="BT76">
        <v>1.262299597818302</v>
      </c>
      <c r="BU76">
        <v>0.87945972913224368</v>
      </c>
      <c r="BV76" s="10">
        <v>22.185429627056557</v>
      </c>
      <c r="BW76" s="10">
        <v>13.684073060334194</v>
      </c>
      <c r="BX76" s="10">
        <v>13.684073060334194</v>
      </c>
      <c r="BY76" s="10">
        <v>13.605231253453757</v>
      </c>
      <c r="BZ76" s="10">
        <v>-87.142668771186834</v>
      </c>
      <c r="CA76" s="10">
        <v>81.437240955643759</v>
      </c>
      <c r="CB76" s="10">
        <v>0</v>
      </c>
      <c r="CC76" s="10">
        <v>0</v>
      </c>
      <c r="CD76" s="10">
        <v>0</v>
      </c>
      <c r="CE76" s="10">
        <v>0</v>
      </c>
      <c r="CF76" s="10">
        <v>0</v>
      </c>
      <c r="CG76" s="10">
        <v>0</v>
      </c>
      <c r="CH76" s="10">
        <v>0</v>
      </c>
      <c r="CI76" s="10">
        <v>0</v>
      </c>
      <c r="CJ76" s="10">
        <v>0</v>
      </c>
      <c r="CK76" s="10">
        <v>0</v>
      </c>
      <c r="CL76" s="10">
        <v>0</v>
      </c>
      <c r="CM76" s="10">
        <v>0</v>
      </c>
      <c r="CN76" s="10">
        <v>0</v>
      </c>
      <c r="CO76" s="10">
        <v>0</v>
      </c>
      <c r="CP76" s="10">
        <v>0</v>
      </c>
      <c r="CQ76" s="10">
        <v>0</v>
      </c>
      <c r="CR76" s="10">
        <v>0</v>
      </c>
      <c r="CS76" s="10">
        <v>0</v>
      </c>
      <c r="CT76" s="10">
        <v>0</v>
      </c>
      <c r="CU76" s="10">
        <v>0</v>
      </c>
      <c r="CV76" s="10">
        <v>0</v>
      </c>
      <c r="CW76" s="10">
        <v>0</v>
      </c>
      <c r="CX76" s="10" t="s">
        <v>159</v>
      </c>
      <c r="CY76" s="1" t="str">
        <f>VLOOKUP(bovespa_diario_last_date_1[[#This Row],[Stock]],Patterns!H:J,2,0)</f>
        <v>CDLBELTHOLD_Bear</v>
      </c>
      <c r="CZ76" s="5">
        <f>IF(RIGHT(bovespa_diario_last_date_1[[#This Row],[PATTERN]],4)="Bull",1,IF(RIGHT(bovespa_diario_last_date_1[[#This Row],[PATTERN]],4)="Bear",-1,0))</f>
        <v>-1</v>
      </c>
    </row>
    <row r="77" spans="1:104" x14ac:dyDescent="0.25">
      <c r="A77" s="4">
        <v>44491</v>
      </c>
      <c r="B77" s="10">
        <v>21.430000305175781</v>
      </c>
      <c r="C77" s="10">
        <v>20.040000915527344</v>
      </c>
      <c r="D77" s="10">
        <v>21</v>
      </c>
      <c r="E77" s="10">
        <v>21</v>
      </c>
      <c r="F77" s="10">
        <v>5316200</v>
      </c>
      <c r="G77" s="10">
        <v>21</v>
      </c>
      <c r="H77" s="10">
        <v>21.569999694824219</v>
      </c>
      <c r="I77" s="10">
        <v>-2.6425577324462934E-2</v>
      </c>
      <c r="J77" s="10">
        <v>-2.6781008529483331E-2</v>
      </c>
      <c r="K77" s="10">
        <v>0</v>
      </c>
      <c r="L77" s="10">
        <v>0.95999908447265625</v>
      </c>
      <c r="M77" s="10">
        <v>0.43000030517578125</v>
      </c>
      <c r="N77" s="10">
        <v>0</v>
      </c>
      <c r="O77" s="10"/>
      <c r="P77" s="10"/>
      <c r="Q77" s="10">
        <v>0.38764896910883467</v>
      </c>
      <c r="R77" s="10">
        <v>0.42835491967679851</v>
      </c>
      <c r="S77" s="10">
        <v>-0.10393089010404882</v>
      </c>
      <c r="T77" s="10">
        <v>-87.243079796022585</v>
      </c>
      <c r="U77" s="10">
        <v>-83.604030195553776</v>
      </c>
      <c r="V77" s="10">
        <v>-67.284625880513104</v>
      </c>
      <c r="W77" s="10">
        <v>-66.138619249735953</v>
      </c>
      <c r="X77" s="10">
        <v>-3.5</v>
      </c>
      <c r="Y77" s="10">
        <v>-0.3573727077907986</v>
      </c>
      <c r="Z77" s="10">
        <v>-5316200</v>
      </c>
      <c r="AA77" s="10">
        <v>109646300</v>
      </c>
      <c r="AB77" s="10">
        <v>-84.62146140373936</v>
      </c>
      <c r="AC77" s="10">
        <v>-5.2764423877996691</v>
      </c>
      <c r="AD77" s="10">
        <v>19.726375945136478</v>
      </c>
      <c r="AE77" s="10">
        <v>86.151061727512811</v>
      </c>
      <c r="AF77" s="10">
        <v>-65.287058673052712</v>
      </c>
      <c r="AG77" s="10">
        <v>1.0471427100045341</v>
      </c>
      <c r="AH77" s="10">
        <v>84.348441480515817</v>
      </c>
      <c r="AI77" s="10">
        <v>59.85442395663113</v>
      </c>
      <c r="AJ77" s="10">
        <v>21.799999872843426</v>
      </c>
      <c r="AK77" s="10">
        <v>23.576250076293945</v>
      </c>
      <c r="AL77" s="10">
        <v>23.979598045349121</v>
      </c>
      <c r="AM77" s="10">
        <v>1.1643423981855074</v>
      </c>
      <c r="AN77" s="10">
        <v>25.938158149719239</v>
      </c>
      <c r="AO77" s="10">
        <v>26.308282841720136</v>
      </c>
      <c r="AP77" s="10">
        <v>21.650913248978107</v>
      </c>
      <c r="AQ77" s="10">
        <v>-0.25277537341524453</v>
      </c>
      <c r="AR77" s="10">
        <v>-3.0995868998957461E-2</v>
      </c>
      <c r="AS77" s="10">
        <v>0.19422217102781389</v>
      </c>
      <c r="AT77" s="10">
        <v>80.864491863466384</v>
      </c>
      <c r="AU77" s="10">
        <v>36.231630928389137</v>
      </c>
      <c r="AV77" s="10">
        <v>5.7877024861584516</v>
      </c>
      <c r="AW77" s="10">
        <v>24.865823923813693</v>
      </c>
      <c r="AX77" s="10">
        <v>-88.977305082464056</v>
      </c>
      <c r="AY77" s="10">
        <v>-64.029119231880955</v>
      </c>
      <c r="AZ77" s="10">
        <v>23.076568969630031</v>
      </c>
      <c r="BA77" s="10">
        <v>-9.8884236649049106E-2</v>
      </c>
      <c r="BB77" s="10">
        <v>-69.103292065745649</v>
      </c>
      <c r="BC77" s="10">
        <v>23.359121930167355</v>
      </c>
      <c r="BD77" s="10">
        <v>23.8737089838821</v>
      </c>
      <c r="BE77" s="10">
        <v>-0.13684328494676667</v>
      </c>
      <c r="BF77" s="10">
        <v>24.075614130914708</v>
      </c>
      <c r="BG77" s="10">
        <v>24.768055260028021</v>
      </c>
      <c r="BH77" s="10">
        <v>-0.17943120285847719</v>
      </c>
      <c r="BI77" s="10">
        <v>-56.887217347708493</v>
      </c>
      <c r="BJ77" s="10">
        <v>25.252243131270294</v>
      </c>
      <c r="BK77" s="10">
        <v>-0.2024877681557283</v>
      </c>
      <c r="BL77" s="10">
        <v>-0.71649220074735354</v>
      </c>
      <c r="BM77" s="10">
        <v>-0.43315653874256221</v>
      </c>
      <c r="BN77" s="10">
        <v>-0.28333566200479132</v>
      </c>
      <c r="BO77" s="10">
        <v>-87.897502341687314</v>
      </c>
      <c r="BP77" s="10">
        <v>50.446004268505156</v>
      </c>
      <c r="BQ77" s="10">
        <v>3063411.111111111</v>
      </c>
      <c r="BR77" s="10">
        <v>2661885</v>
      </c>
      <c r="BS77" s="10">
        <v>2853925.5</v>
      </c>
      <c r="BT77">
        <v>0.73538575371680803</v>
      </c>
      <c r="BU77">
        <v>0.99715615062258522</v>
      </c>
      <c r="BV77" s="10">
        <v>17.87708147896624</v>
      </c>
      <c r="BW77" s="10">
        <v>8.3989655910241261</v>
      </c>
      <c r="BX77" s="10">
        <v>8.3989655910241261</v>
      </c>
      <c r="BY77" s="10">
        <v>20.169479386160891</v>
      </c>
      <c r="BZ77" s="10">
        <v>-88.850427300837893</v>
      </c>
      <c r="CA77" s="10">
        <v>85.831201821333863</v>
      </c>
      <c r="CB77" s="10">
        <v>0</v>
      </c>
      <c r="CC77" s="10">
        <v>0</v>
      </c>
      <c r="CD77" s="10">
        <v>0</v>
      </c>
      <c r="CE77" s="10">
        <v>0</v>
      </c>
      <c r="CF77" s="10">
        <v>0</v>
      </c>
      <c r="CG77" s="10">
        <v>0</v>
      </c>
      <c r="CH77" s="10">
        <v>0</v>
      </c>
      <c r="CI77" s="10">
        <v>0</v>
      </c>
      <c r="CJ77" s="10">
        <v>0</v>
      </c>
      <c r="CK77" s="10">
        <v>0</v>
      </c>
      <c r="CL77" s="10">
        <v>0</v>
      </c>
      <c r="CM77" s="10">
        <v>0</v>
      </c>
      <c r="CN77" s="10">
        <v>0</v>
      </c>
      <c r="CO77" s="10">
        <v>0</v>
      </c>
      <c r="CP77" s="10">
        <v>0</v>
      </c>
      <c r="CQ77" s="10">
        <v>0</v>
      </c>
      <c r="CR77" s="10">
        <v>0</v>
      </c>
      <c r="CS77" s="10">
        <v>0</v>
      </c>
      <c r="CT77" s="10">
        <v>0</v>
      </c>
      <c r="CU77" s="10">
        <v>0</v>
      </c>
      <c r="CV77" s="10">
        <v>0</v>
      </c>
      <c r="CW77" s="10">
        <v>0</v>
      </c>
      <c r="CX77" s="10" t="s">
        <v>160</v>
      </c>
      <c r="CY77" s="1" t="str">
        <f>VLOOKUP(bovespa_diario_last_date_1[[#This Row],[Stock]],Patterns!H:J,2,0)</f>
        <v>CDLHANGINGMAN_Bear</v>
      </c>
      <c r="CZ77" s="5">
        <f>IF(RIGHT(bovespa_diario_last_date_1[[#This Row],[PATTERN]],4)="Bull",1,IF(RIGHT(bovespa_diario_last_date_1[[#This Row],[PATTERN]],4)="Bear",-1,0))</f>
        <v>-1</v>
      </c>
    </row>
    <row r="78" spans="1:104" x14ac:dyDescent="0.25">
      <c r="A78" s="4">
        <v>44491</v>
      </c>
      <c r="B78" s="10">
        <v>44.450000762939453</v>
      </c>
      <c r="C78" s="10">
        <v>42</v>
      </c>
      <c r="D78" s="10">
        <v>43.869998931884766</v>
      </c>
      <c r="E78" s="10">
        <v>43.650001525878906</v>
      </c>
      <c r="F78" s="10">
        <v>4562400</v>
      </c>
      <c r="G78" s="10">
        <v>43.650001525878906</v>
      </c>
      <c r="H78" s="10">
        <v>44.409999847412109</v>
      </c>
      <c r="I78" s="10">
        <v>-1.7113225042658775E-2</v>
      </c>
      <c r="J78" s="10">
        <v>-1.7261348625375827E-2</v>
      </c>
      <c r="K78" s="10">
        <v>0.21999740600585938</v>
      </c>
      <c r="L78" s="10">
        <v>1.6500015258789063</v>
      </c>
      <c r="M78" s="10">
        <v>0.5800018310546875</v>
      </c>
      <c r="N78" s="10">
        <v>5.0273629994329822E-3</v>
      </c>
      <c r="O78" s="10">
        <v>7.5000953685561198</v>
      </c>
      <c r="P78" s="10">
        <v>2.636403044857901</v>
      </c>
      <c r="Q78" s="10">
        <v>0.38828242775512117</v>
      </c>
      <c r="R78" s="10">
        <v>0.32041001425692689</v>
      </c>
      <c r="S78" s="10">
        <v>-7.032074505274119E-2</v>
      </c>
      <c r="T78" s="10">
        <v>-83.436295233542495</v>
      </c>
      <c r="U78" s="10">
        <v>-79.088489161053559</v>
      </c>
      <c r="V78" s="10">
        <v>-74.211398476930029</v>
      </c>
      <c r="W78" s="10">
        <v>-80.606985269413059</v>
      </c>
      <c r="X78" s="10">
        <v>-3.6399993896484375</v>
      </c>
      <c r="Y78" s="10">
        <v>-4.0722215440538196</v>
      </c>
      <c r="Z78" s="10">
        <v>-4562400</v>
      </c>
      <c r="AA78" s="10">
        <v>-17792400</v>
      </c>
      <c r="AB78" s="10">
        <v>-86.372627296073929</v>
      </c>
      <c r="AC78" s="10">
        <v>-80.341242584654552</v>
      </c>
      <c r="AD78" s="10">
        <v>43.809360857621073</v>
      </c>
      <c r="AE78" s="10">
        <v>87.926497781177829</v>
      </c>
      <c r="AF78" s="10">
        <v>87.834595456230275</v>
      </c>
      <c r="AG78" s="10">
        <v>1.9699995858328683</v>
      </c>
      <c r="AH78" s="10">
        <v>-46.870576012118939</v>
      </c>
      <c r="AI78" s="10">
        <v>-66.50872628871852</v>
      </c>
      <c r="AJ78" s="10">
        <v>44.616667429606117</v>
      </c>
      <c r="AK78" s="10">
        <v>46.241250514984131</v>
      </c>
      <c r="AL78" s="10">
        <v>49.150500106811521</v>
      </c>
      <c r="AM78" s="10">
        <v>3.7421922121529692</v>
      </c>
      <c r="AN78" s="10">
        <v>46.346899909973146</v>
      </c>
      <c r="AO78" s="10">
        <v>56.634884531117457</v>
      </c>
      <c r="AP78" s="10">
        <v>41.666115682505584</v>
      </c>
      <c r="AQ78" s="10">
        <v>-0.29747726348967396</v>
      </c>
      <c r="AR78" s="10">
        <v>4.5449845911165201E-2</v>
      </c>
      <c r="AS78" s="10">
        <v>0.30454967530508253</v>
      </c>
      <c r="AT78" s="10">
        <v>-68.450015708185447</v>
      </c>
      <c r="AU78" s="10">
        <v>82.14104157214507</v>
      </c>
      <c r="AV78" s="10">
        <v>7.22930834137955</v>
      </c>
      <c r="AW78" s="10">
        <v>18.267189773031305</v>
      </c>
      <c r="AX78" s="10">
        <v>-85.336750528050359</v>
      </c>
      <c r="AY78" s="10">
        <v>12.469113504942809</v>
      </c>
      <c r="AZ78" s="10">
        <v>46.170815931260293</v>
      </c>
      <c r="BA78" s="10">
        <v>-5.7750614370239234E-2</v>
      </c>
      <c r="BB78" s="10">
        <v>-78.858648354710439</v>
      </c>
      <c r="BC78" s="10">
        <v>46.927552529837605</v>
      </c>
      <c r="BD78" s="10">
        <v>48.912953126900696</v>
      </c>
      <c r="BE78" s="10">
        <v>-0.12057162467454963</v>
      </c>
      <c r="BF78" s="10">
        <v>49.764694688173606</v>
      </c>
      <c r="BG78" s="10">
        <v>51.794819848853265</v>
      </c>
      <c r="BH78" s="10">
        <v>-0.18659376949037484</v>
      </c>
      <c r="BI78" s="10">
        <v>-75.945498584135677</v>
      </c>
      <c r="BJ78" s="10">
        <v>47.81512267592521</v>
      </c>
      <c r="BK78" s="10">
        <v>-9.5420870663129667E-2</v>
      </c>
      <c r="BL78" s="10">
        <v>-2.8371421583360004</v>
      </c>
      <c r="BM78" s="10">
        <v>-2.5104149575400121</v>
      </c>
      <c r="BN78" s="10">
        <v>-0.32672720079598827</v>
      </c>
      <c r="BO78" s="10">
        <v>-0.13744089734405304</v>
      </c>
      <c r="BP78" s="10">
        <v>84.734129567508973</v>
      </c>
      <c r="BQ78" s="10">
        <v>2556766.6666666665</v>
      </c>
      <c r="BR78" s="10">
        <v>2690030</v>
      </c>
      <c r="BS78" s="10">
        <v>1909161</v>
      </c>
      <c r="BT78">
        <v>0.78444128652073597</v>
      </c>
      <c r="BU78">
        <v>0.69604056460336872</v>
      </c>
      <c r="BV78" s="10">
        <v>15.449452048042325</v>
      </c>
      <c r="BW78" s="10">
        <v>10.360441543321835</v>
      </c>
      <c r="BX78" s="10">
        <v>10.360441543321835</v>
      </c>
      <c r="BY78" s="10">
        <v>8.1523720030623199</v>
      </c>
      <c r="BZ78" s="10">
        <v>-81.981516619880537</v>
      </c>
      <c r="CA78" s="10">
        <v>-18.948271114854993</v>
      </c>
      <c r="CB78" s="10">
        <v>0</v>
      </c>
      <c r="CC78" s="10">
        <v>0</v>
      </c>
      <c r="CD78" s="10">
        <v>0</v>
      </c>
      <c r="CE78" s="10">
        <v>0</v>
      </c>
      <c r="CF78" s="10">
        <v>0</v>
      </c>
      <c r="CG78" s="10">
        <v>0</v>
      </c>
      <c r="CH78" s="10">
        <v>0</v>
      </c>
      <c r="CI78" s="10">
        <v>0</v>
      </c>
      <c r="CJ78" s="10">
        <v>0</v>
      </c>
      <c r="CK78" s="10">
        <v>0</v>
      </c>
      <c r="CL78" s="10">
        <v>0</v>
      </c>
      <c r="CM78" s="10">
        <v>0</v>
      </c>
      <c r="CN78" s="10">
        <v>0</v>
      </c>
      <c r="CO78" s="10">
        <v>0</v>
      </c>
      <c r="CP78" s="10">
        <v>0</v>
      </c>
      <c r="CQ78" s="10">
        <v>0</v>
      </c>
      <c r="CR78" s="10">
        <v>0</v>
      </c>
      <c r="CS78" s="10">
        <v>0</v>
      </c>
      <c r="CT78" s="10">
        <v>0</v>
      </c>
      <c r="CU78" s="10">
        <v>0</v>
      </c>
      <c r="CV78" s="10">
        <v>0</v>
      </c>
      <c r="CW78" s="10">
        <v>0</v>
      </c>
      <c r="CX78" s="10" t="s">
        <v>161</v>
      </c>
      <c r="CY78" s="1" t="str">
        <f>VLOOKUP(bovespa_diario_last_date_1[[#This Row],[Stock]],Patterns!H:J,2,0)</f>
        <v>CDLLONGLINE_Bear</v>
      </c>
      <c r="CZ78" s="5">
        <f>IF(RIGHT(bovespa_diario_last_date_1[[#This Row],[PATTERN]],4)="Bull",1,IF(RIGHT(bovespa_diario_last_date_1[[#This Row],[PATTERN]],4)="Bear",-1,0))</f>
        <v>-1</v>
      </c>
    </row>
    <row r="79" spans="1:104" x14ac:dyDescent="0.25">
      <c r="A79" s="4">
        <v>44491</v>
      </c>
      <c r="B79" s="10">
        <v>2.4100000858306885</v>
      </c>
      <c r="C79" s="10">
        <v>2.2100000381469727</v>
      </c>
      <c r="D79" s="10">
        <v>2.3399999141693115</v>
      </c>
      <c r="E79" s="10">
        <v>2.2899999618530273</v>
      </c>
      <c r="F79" s="10">
        <v>17005400</v>
      </c>
      <c r="G79" s="10">
        <v>2.2899999618530273</v>
      </c>
      <c r="H79" s="10">
        <v>2.3399999141693115</v>
      </c>
      <c r="I79" s="10">
        <v>-2.1367501773620345E-2</v>
      </c>
      <c r="J79" s="10">
        <v>-2.1599091781746526E-2</v>
      </c>
      <c r="K79" s="10">
        <v>4.999995231628418E-2</v>
      </c>
      <c r="L79" s="10">
        <v>7.9999923706054688E-2</v>
      </c>
      <c r="M79" s="10">
        <v>7.0000171661376953E-2</v>
      </c>
      <c r="N79" s="10">
        <v>2.1598252118848627E-2</v>
      </c>
      <c r="O79" s="10">
        <v>1.6</v>
      </c>
      <c r="P79" s="10">
        <v>1.4000047683761294</v>
      </c>
      <c r="Q79" s="10">
        <v>0.5065079773527299</v>
      </c>
      <c r="R79" s="10">
        <v>0.57934158449811302</v>
      </c>
      <c r="S79" s="10">
        <v>-9.5707093046406636E-2</v>
      </c>
      <c r="T79" s="10">
        <v>-81.505652710130335</v>
      </c>
      <c r="U79" s="10">
        <v>-69.51234777509454</v>
      </c>
      <c r="V79" s="10">
        <v>-38.985586300245814</v>
      </c>
      <c r="W79" s="10">
        <v>-43.238042531014791</v>
      </c>
      <c r="X79" s="10">
        <v>-0.34000015258789063</v>
      </c>
      <c r="Y79" s="10">
        <v>-4.8888895246717662E-2</v>
      </c>
      <c r="Z79" s="10">
        <v>-17005400</v>
      </c>
      <c r="AA79" s="10">
        <v>-110949202</v>
      </c>
      <c r="AB79" s="10">
        <v>-87.894533233246904</v>
      </c>
      <c r="AC79" s="10">
        <v>79.762197329597996</v>
      </c>
      <c r="AD79" s="10">
        <v>25.443128663619412</v>
      </c>
      <c r="AE79" s="10">
        <v>78.931031400298835</v>
      </c>
      <c r="AF79" s="10">
        <v>-81.552822146160921</v>
      </c>
      <c r="AG79" s="10">
        <v>0.17785714353833879</v>
      </c>
      <c r="AH79" s="10">
        <v>66.30164163400103</v>
      </c>
      <c r="AI79" s="10">
        <v>66.562962746858545</v>
      </c>
      <c r="AJ79" s="10">
        <v>2.3866666158040366</v>
      </c>
      <c r="AK79" s="10">
        <v>2.5712499916553497</v>
      </c>
      <c r="AL79" s="10">
        <v>2.6330000042915342</v>
      </c>
      <c r="AM79" s="10">
        <v>0.15376333819203486</v>
      </c>
      <c r="AN79" s="10">
        <v>4.1330499958992002</v>
      </c>
      <c r="AO79" s="10">
        <v>2.9405266806756041</v>
      </c>
      <c r="AP79" s="10">
        <v>2.3254733279074644</v>
      </c>
      <c r="AQ79" s="10">
        <v>-0.28407280771139493</v>
      </c>
      <c r="AR79" s="10">
        <v>-1.5490553120242261E-2</v>
      </c>
      <c r="AS79" s="10">
        <v>0.23359413283921854</v>
      </c>
      <c r="AT79" s="10">
        <v>-3.3353825079073327</v>
      </c>
      <c r="AU79" s="10">
        <v>-5.7101004239996707</v>
      </c>
      <c r="AV79" s="10">
        <v>7.4931252374114479</v>
      </c>
      <c r="AW79" s="10">
        <v>26.498860046075009</v>
      </c>
      <c r="AX79" s="10">
        <v>-88.425326365452733</v>
      </c>
      <c r="AY79" s="10">
        <v>-39.976979053287081</v>
      </c>
      <c r="AZ79" s="10">
        <v>2.5219843216161699</v>
      </c>
      <c r="BA79" s="10">
        <v>-0.10130321555788366</v>
      </c>
      <c r="BB79" s="10">
        <v>-38.523314103245994</v>
      </c>
      <c r="BC79" s="10">
        <v>2.5591939012499965</v>
      </c>
      <c r="BD79" s="10">
        <v>2.6504938118880457</v>
      </c>
      <c r="BE79" s="10">
        <v>-0.15742089783412622</v>
      </c>
      <c r="BF79" s="10">
        <v>2.6998794610910903</v>
      </c>
      <c r="BG79" s="10">
        <v>2.9500001559060243</v>
      </c>
      <c r="BH79" s="10">
        <v>-0.28820969652721584</v>
      </c>
      <c r="BI79" s="10">
        <v>-50.625287956745716</v>
      </c>
      <c r="BJ79" s="10">
        <v>3.9119474755864352</v>
      </c>
      <c r="BK79" s="10">
        <v>-0.70827403526284638</v>
      </c>
      <c r="BL79" s="10">
        <v>-0.14068555984109388</v>
      </c>
      <c r="BM79" s="10">
        <v>-0.12517537390379188</v>
      </c>
      <c r="BN79" s="10">
        <v>-1.5510185937301996E-2</v>
      </c>
      <c r="BO79" s="10">
        <v>-84.748093745855243</v>
      </c>
      <c r="BP79" s="10">
        <v>56.637703467779176</v>
      </c>
      <c r="BQ79" s="10">
        <v>13213711.111111112</v>
      </c>
      <c r="BR79" s="10">
        <v>10077730</v>
      </c>
      <c r="BS79" s="10">
        <v>7343070.5</v>
      </c>
      <c r="BT79">
        <v>0.28695109625187287</v>
      </c>
      <c r="BU79">
        <v>0.6874236559225142</v>
      </c>
      <c r="BV79" s="10">
        <v>12.307683278821052</v>
      </c>
      <c r="BW79" s="10">
        <v>12.316841302918151</v>
      </c>
      <c r="BX79" s="10">
        <v>12.316841302918151</v>
      </c>
      <c r="BY79" s="10">
        <v>22.954815301843126</v>
      </c>
      <c r="BZ79" s="10">
        <v>-87.996597733281661</v>
      </c>
      <c r="CA79" s="10">
        <v>85.711784642808539</v>
      </c>
      <c r="CB79" s="10">
        <v>0</v>
      </c>
      <c r="CC79" s="10">
        <v>0</v>
      </c>
      <c r="CD79" s="10">
        <v>0</v>
      </c>
      <c r="CE79" s="10">
        <v>0</v>
      </c>
      <c r="CF79" s="10">
        <v>0</v>
      </c>
      <c r="CG79" s="10">
        <v>0</v>
      </c>
      <c r="CH79" s="10">
        <v>0</v>
      </c>
      <c r="CI79" s="10">
        <v>0</v>
      </c>
      <c r="CJ79" s="10">
        <v>0</v>
      </c>
      <c r="CK79" s="10">
        <v>0</v>
      </c>
      <c r="CL79" s="10">
        <v>0</v>
      </c>
      <c r="CM79" s="10">
        <v>0</v>
      </c>
      <c r="CN79" s="10">
        <v>0</v>
      </c>
      <c r="CO79" s="10">
        <v>0</v>
      </c>
      <c r="CP79" s="10">
        <v>0</v>
      </c>
      <c r="CQ79" s="10">
        <v>0</v>
      </c>
      <c r="CR79" s="10">
        <v>0</v>
      </c>
      <c r="CS79" s="10">
        <v>0</v>
      </c>
      <c r="CT79" s="10">
        <v>0</v>
      </c>
      <c r="CU79" s="10">
        <v>0</v>
      </c>
      <c r="CV79" s="10">
        <v>0</v>
      </c>
      <c r="CW79" s="10">
        <v>0</v>
      </c>
      <c r="CX79" s="10" t="s">
        <v>162</v>
      </c>
      <c r="CY79" s="1" t="str">
        <f>VLOOKUP(bovespa_diario_last_date_1[[#This Row],[Stock]],Patterns!H:J,2,0)</f>
        <v>CDLSPINNINGTOP_Bull</v>
      </c>
      <c r="CZ79" s="5">
        <f>IF(RIGHT(bovespa_diario_last_date_1[[#This Row],[PATTERN]],4)="Bull",1,IF(RIGHT(bovespa_diario_last_date_1[[#This Row],[PATTERN]],4)="Bear",-1,0))</f>
        <v>1</v>
      </c>
    </row>
    <row r="80" spans="1:104" x14ac:dyDescent="0.25">
      <c r="A80" s="4">
        <v>44491</v>
      </c>
      <c r="B80" s="10">
        <v>4.559999942779541</v>
      </c>
      <c r="C80" s="10">
        <v>4.0999999046325684</v>
      </c>
      <c r="D80" s="10">
        <v>4.5</v>
      </c>
      <c r="E80" s="10">
        <v>4.5</v>
      </c>
      <c r="F80" s="10">
        <v>12425800</v>
      </c>
      <c r="G80" s="10">
        <v>4.5</v>
      </c>
      <c r="H80" s="10">
        <v>4.570000171661377</v>
      </c>
      <c r="I80" s="10">
        <v>-1.5317323639383873E-2</v>
      </c>
      <c r="J80" s="10">
        <v>-1.5435845692503142E-2</v>
      </c>
      <c r="K80" s="10">
        <v>0</v>
      </c>
      <c r="L80" s="10">
        <v>0.40000009536743164</v>
      </c>
      <c r="M80" s="10">
        <v>5.9999942779541016E-2</v>
      </c>
      <c r="N80" s="10">
        <v>0</v>
      </c>
      <c r="O80" s="10"/>
      <c r="P80" s="10"/>
      <c r="Q80" s="10">
        <v>0.56258750255608836</v>
      </c>
      <c r="R80" s="10">
        <v>0.69326706225377288</v>
      </c>
      <c r="S80" s="10">
        <v>-0.14072762635585512</v>
      </c>
      <c r="T80" s="10">
        <v>-84.706114392217401</v>
      </c>
      <c r="U80" s="10">
        <v>-76.578292725747232</v>
      </c>
      <c r="V80" s="10">
        <v>-58.130552619129702</v>
      </c>
      <c r="W80" s="10">
        <v>-50.064439619602652</v>
      </c>
      <c r="X80" s="10">
        <v>-0.90000009536743164</v>
      </c>
      <c r="Y80" s="10">
        <v>-0.15555556615193686</v>
      </c>
      <c r="Z80" s="10">
        <v>-12425800</v>
      </c>
      <c r="AA80" s="10">
        <v>14198900</v>
      </c>
      <c r="AB80" s="10">
        <v>-87.97585107250444</v>
      </c>
      <c r="AC80" s="10">
        <v>-69.458288969717159</v>
      </c>
      <c r="AD80" s="10">
        <v>26.645573530076156</v>
      </c>
      <c r="AE80" s="10">
        <v>6.396134349738368</v>
      </c>
      <c r="AF80" s="10">
        <v>-82.755791751738315</v>
      </c>
      <c r="AG80" s="10">
        <v>0.31642862728663851</v>
      </c>
      <c r="AH80" s="10">
        <v>69.960702474161209</v>
      </c>
      <c r="AI80" s="10">
        <v>-14.85397825090887</v>
      </c>
      <c r="AJ80" s="10">
        <v>4.7400000890096026</v>
      </c>
      <c r="AK80" s="10">
        <v>5.1425000429153442</v>
      </c>
      <c r="AL80" s="10">
        <v>5.2865000486373903</v>
      </c>
      <c r="AM80" s="10">
        <v>0.30653022734353819</v>
      </c>
      <c r="AN80" s="10">
        <v>6.5564000010490417</v>
      </c>
      <c r="AO80" s="10">
        <v>5.8995605033244667</v>
      </c>
      <c r="AP80" s="10">
        <v>4.6734395939503139</v>
      </c>
      <c r="AQ80" s="10">
        <v>-0.31101344518321483</v>
      </c>
      <c r="AR80" s="10">
        <v>-3.8542131988958651E-2</v>
      </c>
      <c r="AS80" s="10">
        <v>0.23193434183173586</v>
      </c>
      <c r="AT80" s="10">
        <v>81.573510436470073</v>
      </c>
      <c r="AU80" s="10">
        <v>-47.46479797984567</v>
      </c>
      <c r="AV80" s="10">
        <v>9.3722956720648511</v>
      </c>
      <c r="AW80" s="10">
        <v>27.703831248159901</v>
      </c>
      <c r="AX80" s="10">
        <v>-88.593988228733011</v>
      </c>
      <c r="AY80" s="10">
        <v>-68.1464522575845</v>
      </c>
      <c r="AZ80" s="10">
        <v>5.0415226504528592</v>
      </c>
      <c r="BA80" s="10">
        <v>-0.12033836676730204</v>
      </c>
      <c r="BB80" s="10">
        <v>-57.175649454739514</v>
      </c>
      <c r="BC80" s="10">
        <v>5.1218061875753538</v>
      </c>
      <c r="BD80" s="10">
        <v>5.3184963907406715</v>
      </c>
      <c r="BE80" s="10">
        <v>-0.18188808683126034</v>
      </c>
      <c r="BF80" s="10">
        <v>5.4287741110629533</v>
      </c>
      <c r="BG80" s="10">
        <v>5.9237432279554856</v>
      </c>
      <c r="BH80" s="10">
        <v>-0.31638738399010791</v>
      </c>
      <c r="BI80" s="10">
        <v>-63.506284299356665</v>
      </c>
      <c r="BJ80" s="10">
        <v>6.7987905981393766</v>
      </c>
      <c r="BK80" s="10">
        <v>-0.51084235514208365</v>
      </c>
      <c r="BL80" s="10">
        <v>-0.30696792348759949</v>
      </c>
      <c r="BM80" s="10">
        <v>-0.2751144726245176</v>
      </c>
      <c r="BN80" s="10">
        <v>-3.1853450863081889E-2</v>
      </c>
      <c r="BO80" s="10">
        <v>-83.66138012048836</v>
      </c>
      <c r="BP80" s="10">
        <v>-26.044379682370629</v>
      </c>
      <c r="BQ80" s="10">
        <v>6308922.222222222</v>
      </c>
      <c r="BR80" s="10">
        <v>5763710</v>
      </c>
      <c r="BS80" s="10">
        <v>6598281</v>
      </c>
      <c r="BT80">
        <v>0.9695598649531616</v>
      </c>
      <c r="BU80">
        <v>1.1558683556251097</v>
      </c>
      <c r="BV80" s="10">
        <v>25.000007450581041</v>
      </c>
      <c r="BW80" s="10">
        <v>16.338274555190893</v>
      </c>
      <c r="BX80" s="10">
        <v>16.338274555190893</v>
      </c>
      <c r="BY80" s="10">
        <v>26.527105438905082</v>
      </c>
      <c r="BZ80" s="10">
        <v>-87.672991272821264</v>
      </c>
      <c r="CA80" s="10">
        <v>84.742432999610386</v>
      </c>
      <c r="CB80" s="10">
        <v>0</v>
      </c>
      <c r="CC80" s="10">
        <v>0</v>
      </c>
      <c r="CD80" s="10">
        <v>0</v>
      </c>
      <c r="CE80" s="10">
        <v>0</v>
      </c>
      <c r="CF80" s="10">
        <v>0</v>
      </c>
      <c r="CG80" s="10">
        <v>0</v>
      </c>
      <c r="CH80" s="10">
        <v>0</v>
      </c>
      <c r="CI80" s="10">
        <v>0</v>
      </c>
      <c r="CJ80" s="10">
        <v>0</v>
      </c>
      <c r="CK80" s="10">
        <v>0</v>
      </c>
      <c r="CL80" s="10">
        <v>0</v>
      </c>
      <c r="CM80" s="10">
        <v>0</v>
      </c>
      <c r="CN80" s="10">
        <v>0</v>
      </c>
      <c r="CO80" s="10">
        <v>0</v>
      </c>
      <c r="CP80" s="10">
        <v>0</v>
      </c>
      <c r="CQ80" s="10">
        <v>0</v>
      </c>
      <c r="CR80" s="10">
        <v>0</v>
      </c>
      <c r="CS80" s="10">
        <v>0</v>
      </c>
      <c r="CT80" s="10">
        <v>0</v>
      </c>
      <c r="CU80" s="10">
        <v>0</v>
      </c>
      <c r="CV80" s="10">
        <v>0</v>
      </c>
      <c r="CW80" s="10">
        <v>0</v>
      </c>
      <c r="CX80" s="10" t="s">
        <v>163</v>
      </c>
      <c r="CY80" s="1" t="str">
        <f>VLOOKUP(bovespa_diario_last_date_1[[#This Row],[Stock]],Patterns!H:J,2,0)</f>
        <v>CDLCLOSINGMARUBOZU_Bull</v>
      </c>
      <c r="CZ80" s="5">
        <f>IF(RIGHT(bovespa_diario_last_date_1[[#This Row],[PATTERN]],4)="Bull",1,IF(RIGHT(bovespa_diario_last_date_1[[#This Row],[PATTERN]],4)="Bear",-1,0))</f>
        <v>1</v>
      </c>
    </row>
    <row r="81" spans="1:104" x14ac:dyDescent="0.25">
      <c r="A81" s="4">
        <v>44491</v>
      </c>
      <c r="B81" s="10">
        <v>15.680000305175781</v>
      </c>
      <c r="C81" s="10">
        <v>14.569999694824219</v>
      </c>
      <c r="D81" s="10">
        <v>15.640000343322754</v>
      </c>
      <c r="E81" s="10">
        <v>15.289999961853027</v>
      </c>
      <c r="F81" s="10">
        <v>4313500</v>
      </c>
      <c r="G81" s="10">
        <v>15.289999961853027</v>
      </c>
      <c r="H81" s="10">
        <v>15.840000152587891</v>
      </c>
      <c r="I81" s="10">
        <v>-3.4722233929082802E-2</v>
      </c>
      <c r="J81" s="10">
        <v>-3.5339378573279609E-2</v>
      </c>
      <c r="K81" s="10">
        <v>0.35000038146972656</v>
      </c>
      <c r="L81" s="10">
        <v>0.72000026702880859</v>
      </c>
      <c r="M81" s="10">
        <v>3.9999961853027344E-2</v>
      </c>
      <c r="N81" s="10">
        <v>2.263177355424455E-2</v>
      </c>
      <c r="O81" s="10">
        <v>2.0571413779761416</v>
      </c>
      <c r="P81" s="10">
        <v>0.11428548073307503</v>
      </c>
      <c r="Q81" s="10">
        <v>0.39696409471779326</v>
      </c>
      <c r="R81" s="10">
        <v>0.49883193421255251</v>
      </c>
      <c r="S81" s="10">
        <v>-8.5811610133685406E-2</v>
      </c>
      <c r="T81" s="10">
        <v>-87.547567832406941</v>
      </c>
      <c r="U81" s="10">
        <v>-81.51411055074135</v>
      </c>
      <c r="V81" s="10">
        <v>-38.116357171394291</v>
      </c>
      <c r="W81" s="10">
        <v>-60.461995133313259</v>
      </c>
      <c r="X81" s="10">
        <v>-2.0399999618530273</v>
      </c>
      <c r="Y81" s="10">
        <v>8.3777003818088114E-2</v>
      </c>
      <c r="Z81" s="10">
        <v>-4313500</v>
      </c>
      <c r="AA81" s="10">
        <v>-28463000</v>
      </c>
      <c r="AB81" s="10">
        <v>-87.110156849494771</v>
      </c>
      <c r="AC81" s="10">
        <v>-25.773885291337223</v>
      </c>
      <c r="AD81" s="10">
        <v>21.680178517938998</v>
      </c>
      <c r="AE81" s="10">
        <v>-65.749033938935469</v>
      </c>
      <c r="AF81" s="10">
        <v>-83.296429979284142</v>
      </c>
      <c r="AG81" s="10">
        <v>0.79357154028756283</v>
      </c>
      <c r="AH81" s="10">
        <v>82.7804926400526</v>
      </c>
      <c r="AI81" s="10">
        <v>56.860165669673862</v>
      </c>
      <c r="AJ81" s="10">
        <v>16.076666831970215</v>
      </c>
      <c r="AK81" s="10">
        <v>17.153750061988831</v>
      </c>
      <c r="AL81" s="10">
        <v>17.252061319351196</v>
      </c>
      <c r="AM81" s="10">
        <v>0.81867061720716849</v>
      </c>
      <c r="AN81" s="10">
        <v>18.36411008834839</v>
      </c>
      <c r="AO81" s="10">
        <v>18.889402553765532</v>
      </c>
      <c r="AP81" s="10">
        <v>15.614720084936859</v>
      </c>
      <c r="AQ81" s="10">
        <v>-0.23540893400213489</v>
      </c>
      <c r="AR81" s="10">
        <v>-2.1237418174883935E-2</v>
      </c>
      <c r="AS81" s="10">
        <v>0.18981398270104366</v>
      </c>
      <c r="AT81" s="10">
        <v>72.156290046163463</v>
      </c>
      <c r="AU81" s="10">
        <v>38.213260450058932</v>
      </c>
      <c r="AV81" s="10">
        <v>9.3560783420232667</v>
      </c>
      <c r="AW81" s="10">
        <v>28.329250013471565</v>
      </c>
      <c r="AX81" s="10">
        <v>-88.979872917752218</v>
      </c>
      <c r="AY81" s="10">
        <v>72.747760242163494</v>
      </c>
      <c r="AZ81" s="10">
        <v>16.800001844518214</v>
      </c>
      <c r="BA81" s="10">
        <v>-9.8757481127042843E-2</v>
      </c>
      <c r="BB81" s="10">
        <v>-31.849875464859217</v>
      </c>
      <c r="BC81" s="10">
        <v>16.956903656256461</v>
      </c>
      <c r="BD81" s="10">
        <v>17.278996739169752</v>
      </c>
      <c r="BE81" s="10">
        <v>-0.1300848124446741</v>
      </c>
      <c r="BF81" s="10">
        <v>17.430946841337832</v>
      </c>
      <c r="BG81" s="10">
        <v>17.984178565653327</v>
      </c>
      <c r="BH81" s="10">
        <v>-0.17620527210739026</v>
      </c>
      <c r="BI81" s="10">
        <v>-62.527436096816125</v>
      </c>
      <c r="BJ81" s="10">
        <v>18.258373559686245</v>
      </c>
      <c r="BK81" s="10">
        <v>-0.19413823448260323</v>
      </c>
      <c r="BL81" s="10">
        <v>-0.47404318508137067</v>
      </c>
      <c r="BM81" s="10">
        <v>-0.3525536464003759</v>
      </c>
      <c r="BN81" s="10">
        <v>-0.12148953868099477</v>
      </c>
      <c r="BO81" s="10">
        <v>-87.5370189093383</v>
      </c>
      <c r="BP81" s="10">
        <v>75.674107726381891</v>
      </c>
      <c r="BQ81" s="10">
        <v>2874433.3333333335</v>
      </c>
      <c r="BR81" s="10">
        <v>2479615</v>
      </c>
      <c r="BS81" s="10">
        <v>2412266.5</v>
      </c>
      <c r="BT81">
        <v>0.50064360511637074</v>
      </c>
      <c r="BU81">
        <v>0.73958457260502142</v>
      </c>
      <c r="BV81" s="10">
        <v>17.307699361496681</v>
      </c>
      <c r="BW81" s="10">
        <v>19.613329029922593</v>
      </c>
      <c r="BX81" s="10">
        <v>19.613329029922593</v>
      </c>
      <c r="BY81" s="10">
        <v>36.207823124913169</v>
      </c>
      <c r="BZ81" s="10">
        <v>-87.528774990470382</v>
      </c>
      <c r="CA81" s="10">
        <v>87.340184326368345</v>
      </c>
      <c r="CB81" s="10">
        <v>0</v>
      </c>
      <c r="CC81" s="10">
        <v>0</v>
      </c>
      <c r="CD81" s="10">
        <v>0</v>
      </c>
      <c r="CE81" s="10">
        <v>0</v>
      </c>
      <c r="CF81" s="10">
        <v>0</v>
      </c>
      <c r="CG81" s="10">
        <v>0</v>
      </c>
      <c r="CH81" s="10">
        <v>0</v>
      </c>
      <c r="CI81" s="10">
        <v>0</v>
      </c>
      <c r="CJ81" s="10">
        <v>0</v>
      </c>
      <c r="CK81" s="10">
        <v>0</v>
      </c>
      <c r="CL81" s="10">
        <v>0</v>
      </c>
      <c r="CM81" s="10">
        <v>0</v>
      </c>
      <c r="CN81" s="10">
        <v>0</v>
      </c>
      <c r="CO81" s="10">
        <v>0</v>
      </c>
      <c r="CP81" s="10">
        <v>0</v>
      </c>
      <c r="CQ81" s="10">
        <v>0</v>
      </c>
      <c r="CR81" s="10">
        <v>0</v>
      </c>
      <c r="CS81" s="10">
        <v>0</v>
      </c>
      <c r="CT81" s="10">
        <v>0</v>
      </c>
      <c r="CU81" s="10">
        <v>0</v>
      </c>
      <c r="CV81" s="10">
        <v>0</v>
      </c>
      <c r="CW81" s="10">
        <v>0</v>
      </c>
      <c r="CX81" s="10" t="s">
        <v>165</v>
      </c>
      <c r="CY81" s="1" t="str">
        <f>VLOOKUP(bovespa_diario_last_date_1[[#This Row],[Stock]],Patterns!H:J,2,0)</f>
        <v>CDLRICKSHAWMAN_Bull</v>
      </c>
      <c r="CZ81" s="5">
        <f>IF(RIGHT(bovespa_diario_last_date_1[[#This Row],[PATTERN]],4)="Bull",1,IF(RIGHT(bovespa_diario_last_date_1[[#This Row],[PATTERN]],4)="Bear",-1,0))</f>
        <v>1</v>
      </c>
    </row>
    <row r="82" spans="1:104" x14ac:dyDescent="0.25">
      <c r="A82" s="4">
        <v>44491</v>
      </c>
      <c r="B82" s="10">
        <v>11.460000038146973</v>
      </c>
      <c r="C82" s="10">
        <v>10.310000419616699</v>
      </c>
      <c r="D82" s="10">
        <v>11.399999618530273</v>
      </c>
      <c r="E82" s="10">
        <v>10.819999694824219</v>
      </c>
      <c r="F82" s="10">
        <v>10419100</v>
      </c>
      <c r="G82" s="10">
        <v>10.819999694824219</v>
      </c>
      <c r="H82" s="10">
        <v>11.550000190734863</v>
      </c>
      <c r="I82" s="10">
        <v>-6.320350509571715E-2</v>
      </c>
      <c r="J82" s="10">
        <v>-6.5289208268094062E-2</v>
      </c>
      <c r="K82" s="10">
        <v>0.57999992370605469</v>
      </c>
      <c r="L82" s="10">
        <v>0.50999927520751953</v>
      </c>
      <c r="M82" s="10">
        <v>6.0000419616699219E-2</v>
      </c>
      <c r="N82" s="10">
        <v>5.2205215268163185E-2</v>
      </c>
      <c r="O82" s="10">
        <v>0.87930921085084202</v>
      </c>
      <c r="P82" s="10">
        <v>0.10344901294695268</v>
      </c>
      <c r="Q82" s="10">
        <v>0.38529938994717428</v>
      </c>
      <c r="R82" s="10">
        <v>0.45721774217318933</v>
      </c>
      <c r="S82" s="10">
        <v>-0.14192953589209301</v>
      </c>
      <c r="T82" s="10">
        <v>-85.973319249516081</v>
      </c>
      <c r="U82" s="10">
        <v>-81.55476345140859</v>
      </c>
      <c r="V82" s="10">
        <v>-67.841919173980529</v>
      </c>
      <c r="W82" s="10">
        <v>-69.244112946323668</v>
      </c>
      <c r="X82" s="10">
        <v>-1.880000114440918</v>
      </c>
      <c r="Y82" s="10">
        <v>-0.55333328247070313</v>
      </c>
      <c r="Z82" s="10">
        <v>-10419100</v>
      </c>
      <c r="AA82" s="10">
        <v>-63988255</v>
      </c>
      <c r="AB82" s="10">
        <v>-86.786752925053193</v>
      </c>
      <c r="AC82" s="10">
        <v>-50.236358465006056</v>
      </c>
      <c r="AD82" s="10">
        <v>31.079661165669854</v>
      </c>
      <c r="AE82" s="10">
        <v>86.187030562276718</v>
      </c>
      <c r="AF82" s="10">
        <v>77.828115781696695</v>
      </c>
      <c r="AG82" s="10">
        <v>0.55928564071655273</v>
      </c>
      <c r="AH82" s="10">
        <v>71.433885636510595</v>
      </c>
      <c r="AI82" s="10">
        <v>-56.231919695675806</v>
      </c>
      <c r="AJ82" s="10">
        <v>11.573333422342936</v>
      </c>
      <c r="AK82" s="10">
        <v>12.431250095367432</v>
      </c>
      <c r="AL82" s="10">
        <v>12.871500015258789</v>
      </c>
      <c r="AM82" s="10">
        <v>0.75289110427020289</v>
      </c>
      <c r="AN82" s="10">
        <v>16.773127932548523</v>
      </c>
      <c r="AO82" s="10">
        <v>14.377282223799195</v>
      </c>
      <c r="AP82" s="10">
        <v>11.365717806718383</v>
      </c>
      <c r="AQ82" s="10">
        <v>-0.32876918939994182</v>
      </c>
      <c r="AR82" s="10">
        <v>-5.0436056126250177E-2</v>
      </c>
      <c r="AS82" s="10">
        <v>0.23397151952070003</v>
      </c>
      <c r="AT82" s="10">
        <v>81.123400402640016</v>
      </c>
      <c r="AU82" s="10">
        <v>60.845764338110783</v>
      </c>
      <c r="AV82" s="10">
        <v>4.2258292866576852</v>
      </c>
      <c r="AW82" s="10">
        <v>20.568569600939895</v>
      </c>
      <c r="AX82" s="10">
        <v>-88.507410854061106</v>
      </c>
      <c r="AY82" s="10">
        <v>-67.588039140027973</v>
      </c>
      <c r="AZ82" s="10">
        <v>12.197900766367617</v>
      </c>
      <c r="BA82" s="10">
        <v>-0.12734760724646987</v>
      </c>
      <c r="BB82" s="10">
        <v>-68.560789576290333</v>
      </c>
      <c r="BC82" s="10">
        <v>12.386618099310022</v>
      </c>
      <c r="BD82" s="10">
        <v>12.778773273959894</v>
      </c>
      <c r="BE82" s="10">
        <v>-0.18103268339948853</v>
      </c>
      <c r="BF82" s="10">
        <v>12.946128459215805</v>
      </c>
      <c r="BG82" s="10">
        <v>13.567186330389605</v>
      </c>
      <c r="BH82" s="10">
        <v>-0.2538989568437337</v>
      </c>
      <c r="BI82" s="10">
        <v>-63.384872153716898</v>
      </c>
      <c r="BJ82" s="10">
        <v>15.810113216605989</v>
      </c>
      <c r="BK82" s="10">
        <v>-0.46119349930932135</v>
      </c>
      <c r="BL82" s="10">
        <v>-0.55951035990578291</v>
      </c>
      <c r="BM82" s="10">
        <v>-0.40837128830164754</v>
      </c>
      <c r="BN82" s="10">
        <v>-0.15113907160413537</v>
      </c>
      <c r="BO82" s="10">
        <v>-85.218318434509484</v>
      </c>
      <c r="BP82" s="10">
        <v>24.814423937287266</v>
      </c>
      <c r="BQ82" s="10">
        <v>2753811.111111111</v>
      </c>
      <c r="BR82" s="10">
        <v>2344735</v>
      </c>
      <c r="BS82" s="10">
        <v>2602604.085</v>
      </c>
      <c r="BT82">
        <v>2.7835202123925229</v>
      </c>
      <c r="BU82">
        <v>3.4436151633340231</v>
      </c>
      <c r="BV82" s="10">
        <v>16.398692331445712</v>
      </c>
      <c r="BW82" s="10">
        <v>11.039004790176351</v>
      </c>
      <c r="BX82" s="10">
        <v>11.039004790176351</v>
      </c>
      <c r="BY82" s="10">
        <v>14.387925167450506</v>
      </c>
      <c r="BZ82" s="10">
        <v>-88.398594828466159</v>
      </c>
      <c r="CA82" s="10">
        <v>80.563383057741035</v>
      </c>
      <c r="CB82" s="10">
        <v>0</v>
      </c>
      <c r="CC82" s="10">
        <v>0</v>
      </c>
      <c r="CD82" s="10">
        <v>0</v>
      </c>
      <c r="CE82" s="10">
        <v>0</v>
      </c>
      <c r="CF82" s="10">
        <v>0</v>
      </c>
      <c r="CG82" s="10">
        <v>0</v>
      </c>
      <c r="CH82" s="10">
        <v>0</v>
      </c>
      <c r="CI82" s="10">
        <v>0</v>
      </c>
      <c r="CJ82" s="10">
        <v>0</v>
      </c>
      <c r="CK82" s="10">
        <v>0</v>
      </c>
      <c r="CL82" s="10">
        <v>0</v>
      </c>
      <c r="CM82" s="10">
        <v>0</v>
      </c>
      <c r="CN82" s="10">
        <v>0</v>
      </c>
      <c r="CO82" s="10">
        <v>0</v>
      </c>
      <c r="CP82" s="10">
        <v>0</v>
      </c>
      <c r="CQ82" s="10">
        <v>0</v>
      </c>
      <c r="CR82" s="10">
        <v>0</v>
      </c>
      <c r="CS82" s="10">
        <v>0</v>
      </c>
      <c r="CT82" s="10">
        <v>0</v>
      </c>
      <c r="CU82" s="10">
        <v>0</v>
      </c>
      <c r="CV82" s="10">
        <v>0</v>
      </c>
      <c r="CW82" s="10">
        <v>0</v>
      </c>
      <c r="CX82" s="10" t="s">
        <v>166</v>
      </c>
      <c r="CY82" s="1" t="str">
        <f>VLOOKUP(bovespa_diario_last_date_1[[#This Row],[Stock]],Patterns!H:J,2,0)</f>
        <v>CDLRICKSHAWMAN_Bull</v>
      </c>
      <c r="CZ82" s="5">
        <f>IF(RIGHT(bovespa_diario_last_date_1[[#This Row],[PATTERN]],4)="Bull",1,IF(RIGHT(bovespa_diario_last_date_1[[#This Row],[PATTERN]],4)="Bear",-1,0))</f>
        <v>1</v>
      </c>
    </row>
    <row r="83" spans="1:104" x14ac:dyDescent="0.25">
      <c r="A83" s="4">
        <v>44491</v>
      </c>
      <c r="B83" s="10">
        <v>20.350000381469727</v>
      </c>
      <c r="C83" s="10">
        <v>18.840000152587891</v>
      </c>
      <c r="D83" s="10">
        <v>20.319999694824219</v>
      </c>
      <c r="E83" s="10">
        <v>19.879999160766602</v>
      </c>
      <c r="F83" s="10">
        <v>3232900</v>
      </c>
      <c r="G83" s="10">
        <v>19.879999160766602</v>
      </c>
      <c r="H83" s="10">
        <v>20.549999237060547</v>
      </c>
      <c r="I83" s="10">
        <v>-3.2603411249069292E-2</v>
      </c>
      <c r="J83" s="10">
        <v>-3.3146744802768059E-2</v>
      </c>
      <c r="K83" s="10">
        <v>0.44000053405761719</v>
      </c>
      <c r="L83" s="10">
        <v>1.0399990081787109</v>
      </c>
      <c r="M83" s="10">
        <v>3.0000686645507813E-2</v>
      </c>
      <c r="N83" s="10">
        <v>2.1890574456890764E-2</v>
      </c>
      <c r="O83" s="10">
        <v>2.3636312405987332</v>
      </c>
      <c r="P83" s="10">
        <v>6.8183295981134609E-2</v>
      </c>
      <c r="Q83" s="10">
        <v>0.39847334440703497</v>
      </c>
      <c r="R83" s="10">
        <v>0.42647097629278269</v>
      </c>
      <c r="S83" s="10">
        <v>-8.6214660055517436E-2</v>
      </c>
      <c r="T83" s="10">
        <v>-84.568931967519987</v>
      </c>
      <c r="U83" s="10">
        <v>-77.742923480200474</v>
      </c>
      <c r="V83" s="10">
        <v>-47.658742802500306</v>
      </c>
      <c r="W83" s="10">
        <v>-47.783572145612709</v>
      </c>
      <c r="X83" s="10">
        <v>-3.0300006866455078</v>
      </c>
      <c r="Y83" s="10">
        <v>-0.29444440205891925</v>
      </c>
      <c r="Z83" s="10">
        <v>-3232900</v>
      </c>
      <c r="AA83" s="10">
        <v>17880300</v>
      </c>
      <c r="AB83" s="10">
        <v>-86.880588890149028</v>
      </c>
      <c r="AC83" s="10">
        <v>-74.382124991617246</v>
      </c>
      <c r="AD83" s="10">
        <v>27.619316249930449</v>
      </c>
      <c r="AE83" s="10">
        <v>70.482097945098602</v>
      </c>
      <c r="AF83" s="10">
        <v>-86.57931386549285</v>
      </c>
      <c r="AG83" s="10">
        <v>0.97642844063895085</v>
      </c>
      <c r="AH83" s="10">
        <v>75.306130903883314</v>
      </c>
      <c r="AI83" s="10">
        <v>59.203810381667488</v>
      </c>
      <c r="AJ83" s="10">
        <v>20.75666618347168</v>
      </c>
      <c r="AK83" s="10">
        <v>22.068749904632568</v>
      </c>
      <c r="AL83" s="10">
        <v>22.353499984741212</v>
      </c>
      <c r="AM83" s="10">
        <v>0.9188053883235785</v>
      </c>
      <c r="AN83" s="10">
        <v>26.633546352386475</v>
      </c>
      <c r="AO83" s="10">
        <v>24.191110761388369</v>
      </c>
      <c r="AP83" s="10">
        <v>20.515889208094055</v>
      </c>
      <c r="AQ83" s="10">
        <v>-0.21685672950780574</v>
      </c>
      <c r="AR83" s="10">
        <v>-3.198642224202855E-2</v>
      </c>
      <c r="AS83" s="10">
        <v>0.1644136961014189</v>
      </c>
      <c r="AT83" s="10">
        <v>79.806901976285502</v>
      </c>
      <c r="AU83" s="10">
        <v>42.56214239874933</v>
      </c>
      <c r="AV83" s="10">
        <v>7.1643309626438878</v>
      </c>
      <c r="AW83" s="10">
        <v>25.687997123645687</v>
      </c>
      <c r="AX83" s="10">
        <v>-88.725447747849387</v>
      </c>
      <c r="AY83" s="10">
        <v>73.19684297153654</v>
      </c>
      <c r="AZ83" s="10">
        <v>21.658762741035094</v>
      </c>
      <c r="BA83" s="10">
        <v>-8.9475032965740872E-2</v>
      </c>
      <c r="BB83" s="10">
        <v>-50.477612380253049</v>
      </c>
      <c r="BC83" s="10">
        <v>21.88789737435275</v>
      </c>
      <c r="BD83" s="10">
        <v>22.3856262022423</v>
      </c>
      <c r="BE83" s="10">
        <v>-0.12603758285969049</v>
      </c>
      <c r="BF83" s="10">
        <v>22.637947750191849</v>
      </c>
      <c r="BG83" s="10">
        <v>23.764216834562909</v>
      </c>
      <c r="BH83" s="10">
        <v>-0.19538319103462809</v>
      </c>
      <c r="BI83" s="10">
        <v>-52.017489907746686</v>
      </c>
      <c r="BJ83" s="10">
        <v>26.552875665642656</v>
      </c>
      <c r="BK83" s="10">
        <v>-0.33565778604483293</v>
      </c>
      <c r="BL83" s="10">
        <v>-0.75005037583909839</v>
      </c>
      <c r="BM83" s="10">
        <v>-0.59981763247753683</v>
      </c>
      <c r="BN83" s="10">
        <v>-0.15023274336156156</v>
      </c>
      <c r="BO83" s="10">
        <v>-85.631308730116416</v>
      </c>
      <c r="BP83" s="10">
        <v>22.405726074299885</v>
      </c>
      <c r="BQ83" s="10">
        <v>1427988.888888889</v>
      </c>
      <c r="BR83" s="10">
        <v>1406895</v>
      </c>
      <c r="BS83" s="10">
        <v>1441969.5</v>
      </c>
      <c r="BT83">
        <v>1.2639531898007297</v>
      </c>
      <c r="BU83">
        <v>1.2978971422885146</v>
      </c>
      <c r="BV83" s="10">
        <v>22.608672215945017</v>
      </c>
      <c r="BW83" s="10">
        <v>21.965773093826687</v>
      </c>
      <c r="BX83" s="10">
        <v>21.965773093826687</v>
      </c>
      <c r="BY83" s="10">
        <v>34.904946769287527</v>
      </c>
      <c r="BZ83" s="10">
        <v>-88.808432573515987</v>
      </c>
      <c r="CA83" s="10">
        <v>87.202227551449539</v>
      </c>
      <c r="CB83" s="10">
        <v>0</v>
      </c>
      <c r="CC83" s="10">
        <v>0</v>
      </c>
      <c r="CD83" s="10">
        <v>0</v>
      </c>
      <c r="CE83" s="10">
        <v>0</v>
      </c>
      <c r="CF83" s="10">
        <v>0</v>
      </c>
      <c r="CG83" s="10">
        <v>0</v>
      </c>
      <c r="CH83" s="10">
        <v>0</v>
      </c>
      <c r="CI83" s="10">
        <v>0</v>
      </c>
      <c r="CJ83" s="10">
        <v>0</v>
      </c>
      <c r="CK83" s="10">
        <v>0</v>
      </c>
      <c r="CL83" s="10">
        <v>0</v>
      </c>
      <c r="CM83" s="10">
        <v>0</v>
      </c>
      <c r="CN83" s="10">
        <v>0</v>
      </c>
      <c r="CO83" s="10">
        <v>0</v>
      </c>
      <c r="CP83" s="10">
        <v>0</v>
      </c>
      <c r="CQ83" s="10">
        <v>0</v>
      </c>
      <c r="CR83" s="10">
        <v>0</v>
      </c>
      <c r="CS83" s="10">
        <v>0</v>
      </c>
      <c r="CT83" s="10">
        <v>0</v>
      </c>
      <c r="CU83" s="10">
        <v>0</v>
      </c>
      <c r="CV83" s="10">
        <v>0</v>
      </c>
      <c r="CW83" s="10">
        <v>0</v>
      </c>
      <c r="CX83" s="10" t="s">
        <v>167</v>
      </c>
      <c r="CY83" s="1" t="str">
        <f>VLOOKUP(bovespa_diario_last_date_1[[#This Row],[Stock]],Patterns!H:J,2,0)</f>
        <v>CDLBELTHOLD_Bull</v>
      </c>
      <c r="CZ83" s="5">
        <f>IF(RIGHT(bovespa_diario_last_date_1[[#This Row],[PATTERN]],4)="Bull",1,IF(RIGHT(bovespa_diario_last_date_1[[#This Row],[PATTERN]],4)="Bear",-1,0))</f>
        <v>1</v>
      </c>
    </row>
    <row r="84" spans="1:104" x14ac:dyDescent="0.25">
      <c r="A84" s="4">
        <v>44491</v>
      </c>
      <c r="B84" s="10">
        <v>24.239999771118164</v>
      </c>
      <c r="C84" s="10">
        <v>22.690000534057617</v>
      </c>
      <c r="D84" s="10">
        <v>23.899999618530273</v>
      </c>
      <c r="E84" s="10">
        <v>23.809999465942383</v>
      </c>
      <c r="F84" s="10">
        <v>5536600</v>
      </c>
      <c r="G84" s="10">
        <v>23.809999465942383</v>
      </c>
      <c r="H84" s="10">
        <v>23.920000076293945</v>
      </c>
      <c r="I84" s="10">
        <v>-4.5986877090598011E-3</v>
      </c>
      <c r="J84" s="10">
        <v>-4.6092942031773507E-3</v>
      </c>
      <c r="K84" s="10">
        <v>9.0000152587890625E-2</v>
      </c>
      <c r="L84" s="10">
        <v>1.1199989318847656</v>
      </c>
      <c r="M84" s="10">
        <v>0.34000015258789063</v>
      </c>
      <c r="N84" s="10">
        <v>3.7728004324016602E-3</v>
      </c>
      <c r="O84" s="10">
        <v>12.444411477980758</v>
      </c>
      <c r="P84" s="10">
        <v>3.7777730682829653</v>
      </c>
      <c r="Q84" s="10">
        <v>0.28605932233219239</v>
      </c>
      <c r="R84" s="10">
        <v>0.27476025414487315</v>
      </c>
      <c r="S84" s="10">
        <v>3.46114221396501E-2</v>
      </c>
      <c r="T84" s="10">
        <v>82.022226141125813</v>
      </c>
      <c r="U84" s="10">
        <v>79.857656066512817</v>
      </c>
      <c r="V84" s="10">
        <v>-43.135890125222495</v>
      </c>
      <c r="W84" s="10">
        <v>-77.680797392903344</v>
      </c>
      <c r="X84" s="10">
        <v>0.22500038146972656</v>
      </c>
      <c r="Y84" s="10">
        <v>-1.0627778371175129</v>
      </c>
      <c r="Z84" s="10">
        <v>-5536600</v>
      </c>
      <c r="AA84" s="10">
        <v>-43786300</v>
      </c>
      <c r="AB84" s="10">
        <v>86.172015197641031</v>
      </c>
      <c r="AC84" s="10">
        <v>72.70957303987656</v>
      </c>
      <c r="AD84" s="10">
        <v>43.857581199357874</v>
      </c>
      <c r="AE84" s="10">
        <v>-86.956100150445081</v>
      </c>
      <c r="AF84" s="10">
        <v>84.331759110145669</v>
      </c>
      <c r="AG84" s="10">
        <v>0.85785702296665733</v>
      </c>
      <c r="AH84" s="10">
        <v>80.415250087936926</v>
      </c>
      <c r="AI84" s="10">
        <v>66.330854496886886</v>
      </c>
      <c r="AJ84" s="10">
        <v>23.816666285196941</v>
      </c>
      <c r="AK84" s="10">
        <v>23.323124647140503</v>
      </c>
      <c r="AL84" s="10">
        <v>23.984499740600587</v>
      </c>
      <c r="AM84" s="10">
        <v>0.98090030620789481</v>
      </c>
      <c r="AN84" s="10">
        <v>24.802171344757081</v>
      </c>
      <c r="AO84" s="10">
        <v>25.946300353016376</v>
      </c>
      <c r="AP84" s="10">
        <v>22.022699128184797</v>
      </c>
      <c r="AQ84" s="10">
        <v>-8.9722844812732544E-2</v>
      </c>
      <c r="AR84" s="10">
        <v>7.5065114567269289E-2</v>
      </c>
      <c r="AS84" s="10">
        <v>0.1635890373894173</v>
      </c>
      <c r="AT84" s="10">
        <v>-82.612236560050533</v>
      </c>
      <c r="AU84" s="10">
        <v>80.660658030826255</v>
      </c>
      <c r="AV84" s="10">
        <v>69.375488718531386</v>
      </c>
      <c r="AW84" s="10">
        <v>46.781318353506151</v>
      </c>
      <c r="AX84" s="10">
        <v>87.252597661784321</v>
      </c>
      <c r="AY84" s="10">
        <v>86.107825268191945</v>
      </c>
      <c r="AZ84" s="10">
        <v>23.583295156224175</v>
      </c>
      <c r="BA84" s="10">
        <v>9.5213907939176601E-3</v>
      </c>
      <c r="BB84" s="10">
        <v>-57.735406672106556</v>
      </c>
      <c r="BC84" s="10">
        <v>23.66682295601079</v>
      </c>
      <c r="BD84" s="10">
        <v>24.108339808160185</v>
      </c>
      <c r="BE84" s="10">
        <v>-1.2530044053320774E-2</v>
      </c>
      <c r="BF84" s="10">
        <v>24.360082088534934</v>
      </c>
      <c r="BG84" s="10">
        <v>25.157934940808673</v>
      </c>
      <c r="BH84" s="10">
        <v>-5.6612158971039259E-2</v>
      </c>
      <c r="BI84" s="10">
        <v>-79.390295789166828</v>
      </c>
      <c r="BJ84" s="10">
        <v>25.24288409536473</v>
      </c>
      <c r="BK84" s="10">
        <v>-6.0179952186556432E-2</v>
      </c>
      <c r="BL84" s="10">
        <v>-0.69325913252414395</v>
      </c>
      <c r="BM84" s="10">
        <v>-0.8360651247687988</v>
      </c>
      <c r="BN84" s="10">
        <v>0.14280599224465484</v>
      </c>
      <c r="BO84" s="10">
        <v>87.625062852251403</v>
      </c>
      <c r="BP84" s="10">
        <v>83.359733783031515</v>
      </c>
      <c r="BQ84" s="10">
        <v>3609055.5555555555</v>
      </c>
      <c r="BR84" s="10">
        <v>3360975</v>
      </c>
      <c r="BS84" s="10">
        <v>2536173.5</v>
      </c>
      <c r="BT84">
        <v>0.53408555639363953</v>
      </c>
      <c r="BU84">
        <v>0.64731960219876683</v>
      </c>
      <c r="BV84" s="10">
        <v>59.47043298757621</v>
      </c>
      <c r="BW84" s="10">
        <v>55.656194563290107</v>
      </c>
      <c r="BX84" s="10">
        <v>55.656194563290107</v>
      </c>
      <c r="BY84" s="10">
        <v>45.097917259391096</v>
      </c>
      <c r="BZ84" s="10">
        <v>86.948798652905566</v>
      </c>
      <c r="CA84" s="10">
        <v>74.364650678723081</v>
      </c>
      <c r="CB84" s="10">
        <v>0</v>
      </c>
      <c r="CC84" s="10">
        <v>1</v>
      </c>
      <c r="CD84" s="10">
        <v>1</v>
      </c>
      <c r="CE84" s="10">
        <v>0</v>
      </c>
      <c r="CF84" s="10">
        <v>0</v>
      </c>
      <c r="CG84" s="10">
        <v>0</v>
      </c>
      <c r="CH84" s="10">
        <v>0</v>
      </c>
      <c r="CI84" s="10">
        <v>0</v>
      </c>
      <c r="CJ84" s="10">
        <v>0</v>
      </c>
      <c r="CK84" s="10">
        <v>0</v>
      </c>
      <c r="CL84" s="10">
        <v>1</v>
      </c>
      <c r="CM84" s="10">
        <v>1</v>
      </c>
      <c r="CN84" s="10">
        <v>0</v>
      </c>
      <c r="CO84" s="10">
        <v>0</v>
      </c>
      <c r="CP84" s="10">
        <v>0</v>
      </c>
      <c r="CQ84" s="10">
        <v>0</v>
      </c>
      <c r="CR84" s="10">
        <v>0</v>
      </c>
      <c r="CS84" s="10">
        <v>0</v>
      </c>
      <c r="CT84" s="10">
        <v>0</v>
      </c>
      <c r="CU84" s="10">
        <v>0</v>
      </c>
      <c r="CV84" s="10">
        <v>0</v>
      </c>
      <c r="CW84" s="10">
        <v>0</v>
      </c>
      <c r="CX84" s="10" t="s">
        <v>168</v>
      </c>
      <c r="CY84" s="1" t="str">
        <f>VLOOKUP(bovespa_diario_last_date_1[[#This Row],[Stock]],Patterns!H:J,2,0)</f>
        <v>CDLCLOSINGMARUBOZU_Bear</v>
      </c>
      <c r="CZ84" s="5">
        <f>IF(RIGHT(bovespa_diario_last_date_1[[#This Row],[PATTERN]],4)="Bull",1,IF(RIGHT(bovespa_diario_last_date_1[[#This Row],[PATTERN]],4)="Bear",-1,0))</f>
        <v>-1</v>
      </c>
    </row>
    <row r="85" spans="1:104" x14ac:dyDescent="0.25">
      <c r="A85" s="4">
        <v>44491</v>
      </c>
      <c r="B85" s="10">
        <v>19.129999160766602</v>
      </c>
      <c r="C85" s="10">
        <v>18.100000381469727</v>
      </c>
      <c r="D85" s="10">
        <v>19.069999694824219</v>
      </c>
      <c r="E85" s="10">
        <v>19.030000686645508</v>
      </c>
      <c r="F85" s="10">
        <v>5776300</v>
      </c>
      <c r="G85" s="10">
        <v>19.030000686645508</v>
      </c>
      <c r="H85" s="10">
        <v>19.209999084472656</v>
      </c>
      <c r="I85" s="10">
        <v>-9.3700367728096756E-3</v>
      </c>
      <c r="J85" s="10">
        <v>-9.4142117312479671E-3</v>
      </c>
      <c r="K85" s="10">
        <v>3.9999008178710938E-2</v>
      </c>
      <c r="L85" s="10">
        <v>0.93000030517578125</v>
      </c>
      <c r="M85" s="10">
        <v>5.9999465942382813E-2</v>
      </c>
      <c r="N85" s="10">
        <v>2.0996854476759957E-3</v>
      </c>
      <c r="O85" s="10">
        <v>23.250584140002861</v>
      </c>
      <c r="P85" s="10">
        <v>1.5000238424490964</v>
      </c>
      <c r="Q85" s="10">
        <v>0.21096219559612445</v>
      </c>
      <c r="R85" s="10">
        <v>0.23019891338517695</v>
      </c>
      <c r="S85" s="10">
        <v>6.5695312473124184E-2</v>
      </c>
      <c r="T85" s="10">
        <v>-60.510087827484341</v>
      </c>
      <c r="U85" s="10">
        <v>67.729590303296689</v>
      </c>
      <c r="V85" s="10">
        <v>81.059878059965754</v>
      </c>
      <c r="W85" s="10">
        <v>71.201922543046578</v>
      </c>
      <c r="X85" s="10">
        <v>0.71000099182128906</v>
      </c>
      <c r="Y85" s="10">
        <v>0.94111103481716585</v>
      </c>
      <c r="Z85" s="10">
        <v>-5776300</v>
      </c>
      <c r="AA85" s="10">
        <v>-4025200</v>
      </c>
      <c r="AB85" s="10">
        <v>-86.81195264714944</v>
      </c>
      <c r="AC85" s="10">
        <v>77.863923974247712</v>
      </c>
      <c r="AD85" s="10">
        <v>22.921707655805896</v>
      </c>
      <c r="AE85" s="10">
        <v>85.310974054129829</v>
      </c>
      <c r="AF85" s="10">
        <v>84.847321174061534</v>
      </c>
      <c r="AG85" s="10">
        <v>0.53785691942487446</v>
      </c>
      <c r="AH85" s="10">
        <v>81.049817597116373</v>
      </c>
      <c r="AI85" s="10">
        <v>74.885199448191756</v>
      </c>
      <c r="AJ85" s="10">
        <v>19.256666819254558</v>
      </c>
      <c r="AK85" s="10">
        <v>19.162499904632568</v>
      </c>
      <c r="AL85" s="10">
        <v>18.621999835968019</v>
      </c>
      <c r="AM85" s="10">
        <v>0.52697355006573687</v>
      </c>
      <c r="AN85" s="10">
        <v>18.3831586933136</v>
      </c>
      <c r="AO85" s="10">
        <v>19.675946936099493</v>
      </c>
      <c r="AP85" s="10">
        <v>17.568052735836545</v>
      </c>
      <c r="AQ85" s="10">
        <v>-3.3943574679284383E-2</v>
      </c>
      <c r="AR85" s="10">
        <v>7.6823326224832927E-2</v>
      </c>
      <c r="AS85" s="10">
        <v>0.11319376107992397</v>
      </c>
      <c r="AT85" s="10">
        <v>76.231031765692236</v>
      </c>
      <c r="AU85" s="10">
        <v>76.715588353300149</v>
      </c>
      <c r="AV85" s="10">
        <v>40.811014356924545</v>
      </c>
      <c r="AW85" s="10">
        <v>55.786689086789501</v>
      </c>
      <c r="AX85" s="10">
        <v>-87.517938335959599</v>
      </c>
      <c r="AY85" s="10">
        <v>86.798705627709239</v>
      </c>
      <c r="AZ85" s="10">
        <v>19.01487521846909</v>
      </c>
      <c r="BA85" s="10">
        <v>7.9482226120109172E-4</v>
      </c>
      <c r="BB85" s="10">
        <v>81.150823195787581</v>
      </c>
      <c r="BC85" s="10">
        <v>18.924626127063249</v>
      </c>
      <c r="BD85" s="10">
        <v>18.729993894553527</v>
      </c>
      <c r="BE85" s="10">
        <v>1.5764938584711341E-2</v>
      </c>
      <c r="BF85" s="10">
        <v>18.653954868605737</v>
      </c>
      <c r="BG85" s="10">
        <v>18.439797417644392</v>
      </c>
      <c r="BH85" s="10">
        <v>3.1014358786402799E-2</v>
      </c>
      <c r="BI85" s="10">
        <v>64.372193232516111</v>
      </c>
      <c r="BJ85" s="10">
        <v>18.24100347685512</v>
      </c>
      <c r="BK85" s="10">
        <v>4.146070316981515E-2</v>
      </c>
      <c r="BL85" s="10">
        <v>0.2706712584575115</v>
      </c>
      <c r="BM85" s="10">
        <v>0.19985188523254829</v>
      </c>
      <c r="BN85" s="10">
        <v>7.0819373224963206E-2</v>
      </c>
      <c r="BO85" s="10">
        <v>-76.434029925151663</v>
      </c>
      <c r="BP85" s="10">
        <v>83.057507509414677</v>
      </c>
      <c r="BQ85" s="10">
        <v>4190188.888888889</v>
      </c>
      <c r="BR85" s="10">
        <v>3420075</v>
      </c>
      <c r="BS85" s="10">
        <v>3126749</v>
      </c>
      <c r="BT85">
        <v>0.37852974010718166</v>
      </c>
      <c r="BU85">
        <v>0.68893957003866868</v>
      </c>
      <c r="BV85" s="10">
        <v>68.93619473458233</v>
      </c>
      <c r="BW85" s="10">
        <v>78.581560513939735</v>
      </c>
      <c r="BX85" s="10">
        <v>78.581560513939735</v>
      </c>
      <c r="BY85" s="10">
        <v>83.403784631834768</v>
      </c>
      <c r="BZ85" s="10">
        <v>-79.352580572052688</v>
      </c>
      <c r="CA85" s="10">
        <v>86.412132318474917</v>
      </c>
      <c r="CB85" s="10">
        <v>0</v>
      </c>
      <c r="CC85" s="10">
        <v>0</v>
      </c>
      <c r="CD85" s="10">
        <v>0</v>
      </c>
      <c r="CE85" s="10">
        <v>0</v>
      </c>
      <c r="CF85" s="10">
        <v>0</v>
      </c>
      <c r="CG85" s="10">
        <v>0</v>
      </c>
      <c r="CH85" s="10">
        <v>0</v>
      </c>
      <c r="CI85" s="10">
        <v>0</v>
      </c>
      <c r="CJ85" s="10">
        <v>0</v>
      </c>
      <c r="CK85" s="10">
        <v>0</v>
      </c>
      <c r="CL85" s="10">
        <v>0</v>
      </c>
      <c r="CM85" s="10">
        <v>0</v>
      </c>
      <c r="CN85" s="10">
        <v>0</v>
      </c>
      <c r="CO85" s="10">
        <v>0</v>
      </c>
      <c r="CP85" s="10">
        <v>0</v>
      </c>
      <c r="CQ85" s="10">
        <v>0</v>
      </c>
      <c r="CR85" s="10">
        <v>0</v>
      </c>
      <c r="CS85" s="10">
        <v>0</v>
      </c>
      <c r="CT85" s="10">
        <v>0</v>
      </c>
      <c r="CU85" s="10">
        <v>0</v>
      </c>
      <c r="CV85" s="10">
        <v>0</v>
      </c>
      <c r="CW85" s="10">
        <v>0</v>
      </c>
      <c r="CX85" s="10" t="s">
        <v>169</v>
      </c>
      <c r="CY85" s="1" t="str">
        <f>VLOOKUP(bovespa_diario_last_date_1[[#This Row],[Stock]],Patterns!H:J,2,0)</f>
        <v>CDLLONGLINE_Bear</v>
      </c>
      <c r="CZ85" s="5">
        <f>IF(RIGHT(bovespa_diario_last_date_1[[#This Row],[PATTERN]],4)="Bull",1,IF(RIGHT(bovespa_diario_last_date_1[[#This Row],[PATTERN]],4)="Bear",-1,0))</f>
        <v>-1</v>
      </c>
    </row>
    <row r="86" spans="1:104" x14ac:dyDescent="0.25">
      <c r="A86" s="4">
        <v>44491</v>
      </c>
      <c r="B86" s="10">
        <v>6.9499998092651367</v>
      </c>
      <c r="C86" s="10">
        <v>6.4000000953674316</v>
      </c>
      <c r="D86" s="10">
        <v>6.809999942779541</v>
      </c>
      <c r="E86" s="10">
        <v>6.809999942779541</v>
      </c>
      <c r="F86" s="10">
        <v>2162700</v>
      </c>
      <c r="G86" s="10">
        <v>6.809999942779541</v>
      </c>
      <c r="H86" s="10">
        <v>6.9099998474121094</v>
      </c>
      <c r="I86" s="10">
        <v>-1.447176654714688E-2</v>
      </c>
      <c r="J86" s="10">
        <v>-1.4577503938390362E-2</v>
      </c>
      <c r="K86" s="10">
        <v>0</v>
      </c>
      <c r="L86" s="10">
        <v>0.40999984741210938</v>
      </c>
      <c r="M86" s="10">
        <v>0.1399998664855957</v>
      </c>
      <c r="N86" s="10">
        <v>0</v>
      </c>
      <c r="O86" s="10"/>
      <c r="P86" s="10"/>
      <c r="Q86" s="10">
        <v>0.42289815680593151</v>
      </c>
      <c r="R86" s="10">
        <v>0.52468457369408994</v>
      </c>
      <c r="S86" s="10">
        <v>-7.9025578914300787E-2</v>
      </c>
      <c r="T86" s="10">
        <v>-82.620317936247119</v>
      </c>
      <c r="U86" s="10">
        <v>-77.115642606006304</v>
      </c>
      <c r="V86" s="10">
        <v>-60.040660454510849</v>
      </c>
      <c r="W86" s="10">
        <v>-58.677174478612244</v>
      </c>
      <c r="X86" s="10">
        <v>-1.059999942779541</v>
      </c>
      <c r="Y86" s="10">
        <v>-0.25444438722398544</v>
      </c>
      <c r="Z86" s="10">
        <v>-2162700</v>
      </c>
      <c r="AA86" s="10">
        <v>42439800</v>
      </c>
      <c r="AB86" s="10">
        <v>-83.60658941478097</v>
      </c>
      <c r="AC86" s="10">
        <v>-62.345909051328078</v>
      </c>
      <c r="AD86" s="10">
        <v>20.246270530433979</v>
      </c>
      <c r="AE86" s="10">
        <v>84.421209074663849</v>
      </c>
      <c r="AF86" s="10">
        <v>-66.88120236787806</v>
      </c>
      <c r="AG86" s="10">
        <v>0.40285713332039969</v>
      </c>
      <c r="AH86" s="10">
        <v>57.792655331739851</v>
      </c>
      <c r="AI86" s="10">
        <v>40.06055644103413</v>
      </c>
      <c r="AJ86" s="10">
        <v>6.9933333396911621</v>
      </c>
      <c r="AK86" s="10">
        <v>7.3950000405311584</v>
      </c>
      <c r="AL86" s="10">
        <v>7.6165000200271606</v>
      </c>
      <c r="AM86" s="10">
        <v>0.37697235255267458</v>
      </c>
      <c r="AN86" s="10">
        <v>9.5145086407661434</v>
      </c>
      <c r="AO86" s="10">
        <v>8.3704447251325096</v>
      </c>
      <c r="AP86" s="10">
        <v>6.8625553149218117</v>
      </c>
      <c r="AQ86" s="10">
        <v>-0.22914020491402001</v>
      </c>
      <c r="AR86" s="10">
        <v>-7.7173821709049682E-3</v>
      </c>
      <c r="AS86" s="10">
        <v>0.19797668302314542</v>
      </c>
      <c r="AT86" s="10">
        <v>62.732023859623119</v>
      </c>
      <c r="AU86" s="10">
        <v>48.197349028850333</v>
      </c>
      <c r="AV86" s="10">
        <v>8.9815876612825321</v>
      </c>
      <c r="AW86" s="10">
        <v>30.553736465144212</v>
      </c>
      <c r="AX86" s="10">
        <v>-87.533150693564025</v>
      </c>
      <c r="AY86" s="10">
        <v>-68.55389703928347</v>
      </c>
      <c r="AZ86" s="10">
        <v>7.3014699087472934</v>
      </c>
      <c r="BA86" s="10">
        <v>-7.2168864918838171E-2</v>
      </c>
      <c r="BB86" s="10">
        <v>-64.001287787617187</v>
      </c>
      <c r="BC86" s="10">
        <v>7.3924434863284469</v>
      </c>
      <c r="BD86" s="10">
        <v>7.5872435187396112</v>
      </c>
      <c r="BE86" s="10">
        <v>-0.11413268465356752</v>
      </c>
      <c r="BF86" s="10">
        <v>7.676621964532063</v>
      </c>
      <c r="BG86" s="10">
        <v>8.0609463342299197</v>
      </c>
      <c r="BH86" s="10">
        <v>-0.18369257003837766</v>
      </c>
      <c r="BI86" s="10">
        <v>-57.524084361881364</v>
      </c>
      <c r="BJ86" s="10">
        <v>9.3443881213217921</v>
      </c>
      <c r="BK86" s="10">
        <v>-0.37215685753850769</v>
      </c>
      <c r="BL86" s="10">
        <v>-0.28417847820361608</v>
      </c>
      <c r="BM86" s="10">
        <v>-0.21812441521925341</v>
      </c>
      <c r="BN86" s="10">
        <v>-6.6054062984362671E-2</v>
      </c>
      <c r="BO86" s="10">
        <v>-84.489269743300298</v>
      </c>
      <c r="BP86" s="10">
        <v>-23.521016444047302</v>
      </c>
      <c r="BQ86" s="10">
        <v>1577200</v>
      </c>
      <c r="BR86" s="10">
        <v>1601705</v>
      </c>
      <c r="BS86" s="10">
        <v>1580722.5</v>
      </c>
      <c r="BT86">
        <v>0.3712274917575451</v>
      </c>
      <c r="BU86">
        <v>0.3502486412916237</v>
      </c>
      <c r="BV86" s="10">
        <v>23.699412883919369</v>
      </c>
      <c r="BW86" s="10">
        <v>14.16655515034981</v>
      </c>
      <c r="BX86" s="10">
        <v>14.16655515034981</v>
      </c>
      <c r="BY86" s="10">
        <v>17.468698815234021</v>
      </c>
      <c r="BZ86" s="10">
        <v>-87.480533722047781</v>
      </c>
      <c r="CA86" s="10">
        <v>74.133910287182019</v>
      </c>
      <c r="CB86" s="10">
        <v>0</v>
      </c>
      <c r="CC86" s="10">
        <v>0</v>
      </c>
      <c r="CD86" s="10">
        <v>0</v>
      </c>
      <c r="CE86" s="10">
        <v>0</v>
      </c>
      <c r="CF86" s="10">
        <v>0</v>
      </c>
      <c r="CG86" s="10">
        <v>0</v>
      </c>
      <c r="CH86" s="10">
        <v>0</v>
      </c>
      <c r="CI86" s="10">
        <v>0</v>
      </c>
      <c r="CJ86" s="10">
        <v>0</v>
      </c>
      <c r="CK86" s="10">
        <v>0</v>
      </c>
      <c r="CL86" s="10">
        <v>0</v>
      </c>
      <c r="CM86" s="10">
        <v>0</v>
      </c>
      <c r="CN86" s="10">
        <v>0</v>
      </c>
      <c r="CO86" s="10">
        <v>0</v>
      </c>
      <c r="CP86" s="10">
        <v>0</v>
      </c>
      <c r="CQ86" s="10">
        <v>0</v>
      </c>
      <c r="CR86" s="10">
        <v>0</v>
      </c>
      <c r="CS86" s="10">
        <v>0</v>
      </c>
      <c r="CT86" s="10">
        <v>0</v>
      </c>
      <c r="CU86" s="10">
        <v>0</v>
      </c>
      <c r="CV86" s="10">
        <v>0</v>
      </c>
      <c r="CW86" s="10">
        <v>0</v>
      </c>
      <c r="CX86" s="10" t="s">
        <v>170</v>
      </c>
      <c r="CY86" s="1" t="str">
        <f>VLOOKUP(bovespa_diario_last_date_1[[#This Row],[Stock]],Patterns!H:J,2,0)</f>
        <v>NO_PATTERN</v>
      </c>
      <c r="CZ86" s="5">
        <f>IF(RIGHT(bovespa_diario_last_date_1[[#This Row],[PATTERN]],4)="Bull",1,IF(RIGHT(bovespa_diario_last_date_1[[#This Row],[PATTERN]],4)="Bear",-1,0))</f>
        <v>0</v>
      </c>
    </row>
    <row r="87" spans="1:104" x14ac:dyDescent="0.25">
      <c r="A87" s="4">
        <v>44491</v>
      </c>
      <c r="B87" s="10">
        <v>16.819999694824219</v>
      </c>
      <c r="C87" s="10">
        <v>15.869999885559082</v>
      </c>
      <c r="D87" s="10">
        <v>16.379999160766602</v>
      </c>
      <c r="E87" s="10">
        <v>16.639999389648438</v>
      </c>
      <c r="F87" s="10">
        <v>3353600</v>
      </c>
      <c r="G87" s="10">
        <v>16.639999389648438</v>
      </c>
      <c r="H87" s="10">
        <v>16.549999237060547</v>
      </c>
      <c r="I87" s="10">
        <v>5.438075935759068E-3</v>
      </c>
      <c r="J87" s="10">
        <v>5.4233429892701843E-3</v>
      </c>
      <c r="K87" s="10">
        <v>0.26000022888183594</v>
      </c>
      <c r="L87" s="10">
        <v>0.50999927520751953</v>
      </c>
      <c r="M87" s="10">
        <v>0.18000030517578125</v>
      </c>
      <c r="N87" s="10">
        <v>1.5748046050629998E-2</v>
      </c>
      <c r="O87" s="10">
        <v>1.9615339471078017</v>
      </c>
      <c r="P87" s="10">
        <v>0.69230825661152473</v>
      </c>
      <c r="Q87" s="10">
        <v>0.36404579115101765</v>
      </c>
      <c r="R87" s="10">
        <v>0.4703130918248879</v>
      </c>
      <c r="S87" s="10">
        <v>-1.1947619161939062E-2</v>
      </c>
      <c r="T87" s="10">
        <v>-81.045827564507647</v>
      </c>
      <c r="U87" s="10">
        <v>-71.934993727358147</v>
      </c>
      <c r="V87" s="10">
        <v>-2.5101774283260996</v>
      </c>
      <c r="W87" s="10">
        <v>-48.847174724708559</v>
      </c>
      <c r="X87" s="10">
        <v>-0.84000015258789063</v>
      </c>
      <c r="Y87" s="10">
        <v>3.9999855889214411E-2</v>
      </c>
      <c r="Z87" s="10">
        <v>3353600</v>
      </c>
      <c r="AA87" s="10">
        <v>-18466500</v>
      </c>
      <c r="AB87" s="10">
        <v>-57.620410570464294</v>
      </c>
      <c r="AC87" s="10">
        <v>-19.45504476695606</v>
      </c>
      <c r="AD87" s="10">
        <v>26.956407413048225</v>
      </c>
      <c r="AE87" s="10">
        <v>-35.616853781804444</v>
      </c>
      <c r="AF87" s="10">
        <v>-83.207331908152028</v>
      </c>
      <c r="AG87" s="10">
        <v>0.78999989373343327</v>
      </c>
      <c r="AH87" s="10">
        <v>69.253310741504862</v>
      </c>
      <c r="AI87" s="10">
        <v>1.1250617817003845</v>
      </c>
      <c r="AJ87" s="10">
        <v>16.773332595825195</v>
      </c>
      <c r="AK87" s="10">
        <v>17.368749856948853</v>
      </c>
      <c r="AL87" s="10">
        <v>17.474499893188476</v>
      </c>
      <c r="AM87" s="10">
        <v>0.64100665347957375</v>
      </c>
      <c r="AN87" s="10">
        <v>24.172247819900512</v>
      </c>
      <c r="AO87" s="10">
        <v>18.756513200147623</v>
      </c>
      <c r="AP87" s="10">
        <v>16.192486586229329</v>
      </c>
      <c r="AQ87" s="10">
        <v>-0.12719434423872911</v>
      </c>
      <c r="AR87" s="10">
        <v>2.6893799268857037E-2</v>
      </c>
      <c r="AS87" s="10">
        <v>0.14672961341329982</v>
      </c>
      <c r="AT87" s="10">
        <v>-84.295553161124928</v>
      </c>
      <c r="AU87" s="10">
        <v>-66.590007855248942</v>
      </c>
      <c r="AV87" s="10">
        <v>28.734384275981654</v>
      </c>
      <c r="AW87" s="10">
        <v>37.158598625895678</v>
      </c>
      <c r="AX87" s="10">
        <v>-87.017198792244884</v>
      </c>
      <c r="AY87" s="10">
        <v>81.056443941096688</v>
      </c>
      <c r="AZ87" s="10">
        <v>17.166966250568702</v>
      </c>
      <c r="BA87" s="10">
        <v>-3.1668682707289342E-2</v>
      </c>
      <c r="BB87" s="10">
        <v>-39.085841822578331</v>
      </c>
      <c r="BC87" s="10">
        <v>17.296042976195739</v>
      </c>
      <c r="BD87" s="10">
        <v>17.697339012952618</v>
      </c>
      <c r="BE87" s="10">
        <v>-6.3542047000430785E-2</v>
      </c>
      <c r="BF87" s="10">
        <v>17.932150968938195</v>
      </c>
      <c r="BG87" s="10">
        <v>19.063734077072564</v>
      </c>
      <c r="BH87" s="10">
        <v>-0.14565713800037186</v>
      </c>
      <c r="BI87" s="10">
        <v>-68.516245309781738</v>
      </c>
      <c r="BJ87" s="10">
        <v>23.275575674048127</v>
      </c>
      <c r="BK87" s="10">
        <v>-0.39877262787206652</v>
      </c>
      <c r="BL87" s="10">
        <v>-0.63610799274245622</v>
      </c>
      <c r="BM87" s="10">
        <v>-0.65199031736188129</v>
      </c>
      <c r="BN87" s="10">
        <v>1.588232461942507E-2</v>
      </c>
      <c r="BO87" s="10">
        <v>-80.928670562778436</v>
      </c>
      <c r="BP87" s="10">
        <v>75.248313666642105</v>
      </c>
      <c r="BQ87" s="10">
        <v>1698733.3333333333</v>
      </c>
      <c r="BR87" s="10">
        <v>1611610</v>
      </c>
      <c r="BS87" s="10">
        <v>1205934.5</v>
      </c>
      <c r="BT87">
        <v>0.97417683764373453</v>
      </c>
      <c r="BU87">
        <v>1.0809004659936337</v>
      </c>
      <c r="BV87" s="10">
        <v>31.428553634063849</v>
      </c>
      <c r="BW87" s="10">
        <v>31.252548380847575</v>
      </c>
      <c r="BX87" s="10">
        <v>31.252548380847575</v>
      </c>
      <c r="BY87" s="10">
        <v>37.258097839472214</v>
      </c>
      <c r="BZ87" s="10">
        <v>-86.555602657129398</v>
      </c>
      <c r="CA87" s="10">
        <v>86.893973508129207</v>
      </c>
      <c r="CB87" s="10">
        <v>0</v>
      </c>
      <c r="CC87" s="10">
        <v>0</v>
      </c>
      <c r="CD87" s="10">
        <v>0</v>
      </c>
      <c r="CE87" s="10">
        <v>0</v>
      </c>
      <c r="CF87" s="10">
        <v>0</v>
      </c>
      <c r="CG87" s="10">
        <v>0</v>
      </c>
      <c r="CH87" s="10">
        <v>0</v>
      </c>
      <c r="CI87" s="10">
        <v>0</v>
      </c>
      <c r="CJ87" s="10">
        <v>0</v>
      </c>
      <c r="CK87" s="10">
        <v>0</v>
      </c>
      <c r="CL87" s="10">
        <v>0</v>
      </c>
      <c r="CM87" s="10">
        <v>0</v>
      </c>
      <c r="CN87" s="10">
        <v>0</v>
      </c>
      <c r="CO87" s="10">
        <v>0</v>
      </c>
      <c r="CP87" s="10">
        <v>0</v>
      </c>
      <c r="CQ87" s="10">
        <v>0</v>
      </c>
      <c r="CR87" s="10">
        <v>0</v>
      </c>
      <c r="CS87" s="10">
        <v>0</v>
      </c>
      <c r="CT87" s="10">
        <v>0</v>
      </c>
      <c r="CU87" s="10">
        <v>0</v>
      </c>
      <c r="CV87" s="10">
        <v>0</v>
      </c>
      <c r="CW87" s="10">
        <v>0</v>
      </c>
      <c r="CX87" s="10" t="s">
        <v>171</v>
      </c>
      <c r="CY87" s="1" t="str">
        <f>VLOOKUP(bovespa_diario_last_date_1[[#This Row],[Stock]],Patterns!H:J,2,0)</f>
        <v>CDLRICKSHAWMAN_Bull</v>
      </c>
      <c r="CZ87" s="5">
        <f>IF(RIGHT(bovespa_diario_last_date_1[[#This Row],[PATTERN]],4)="Bull",1,IF(RIGHT(bovespa_diario_last_date_1[[#This Row],[PATTERN]],4)="Bear",-1,0))</f>
        <v>1</v>
      </c>
    </row>
    <row r="88" spans="1:104" x14ac:dyDescent="0.25">
      <c r="A88" s="4">
        <v>44491</v>
      </c>
      <c r="B88" s="10">
        <v>30.5</v>
      </c>
      <c r="C88" s="10">
        <v>29.209999084472656</v>
      </c>
      <c r="D88" s="10">
        <v>30.280000686645508</v>
      </c>
      <c r="E88" s="10">
        <v>30.260000228881836</v>
      </c>
      <c r="F88" s="10">
        <v>1221900</v>
      </c>
      <c r="G88" s="10">
        <v>30.260000228881836</v>
      </c>
      <c r="H88" s="10">
        <v>30.639999389648438</v>
      </c>
      <c r="I88" s="10">
        <v>-1.2402061629772199E-2</v>
      </c>
      <c r="J88" s="10">
        <v>-1.247960902824915E-2</v>
      </c>
      <c r="K88" s="10">
        <v>2.0000457763671875E-2</v>
      </c>
      <c r="L88" s="10">
        <v>1.0500011444091797</v>
      </c>
      <c r="M88" s="10">
        <v>0.21999931335449219</v>
      </c>
      <c r="N88" s="10">
        <v>6.6073529769445846E-4</v>
      </c>
      <c r="O88" s="10">
        <v>52.498855617013163</v>
      </c>
      <c r="P88" s="10">
        <v>10.999713904253291</v>
      </c>
      <c r="Q88" s="10">
        <v>0.30082901242002069</v>
      </c>
      <c r="R88" s="10">
        <v>0.30785910732067728</v>
      </c>
      <c r="S88" s="10">
        <v>-1.4435963520548063E-2</v>
      </c>
      <c r="T88" s="10">
        <v>-83.33157879721675</v>
      </c>
      <c r="U88" s="10">
        <v>-72.229413718160686</v>
      </c>
      <c r="V88" s="10">
        <v>-50.117811512425519</v>
      </c>
      <c r="W88" s="10">
        <v>-65.768920767957695</v>
      </c>
      <c r="X88" s="10">
        <v>-0.25</v>
      </c>
      <c r="Y88" s="10">
        <v>-0.63777775234646272</v>
      </c>
      <c r="Z88" s="10">
        <v>-1221900</v>
      </c>
      <c r="AA88" s="10">
        <v>-27852900</v>
      </c>
      <c r="AB88" s="10">
        <v>-82.477646415075867</v>
      </c>
      <c r="AC88" s="10">
        <v>0.63045780356881909</v>
      </c>
      <c r="AD88" s="10">
        <v>25.042065107535311</v>
      </c>
      <c r="AE88" s="10">
        <v>84.146249221706341</v>
      </c>
      <c r="AF88" s="10">
        <v>82.567552669487327</v>
      </c>
      <c r="AG88" s="10">
        <v>1.1578576224190849</v>
      </c>
      <c r="AH88" s="10">
        <v>58.860983301706128</v>
      </c>
      <c r="AI88" s="10">
        <v>64.723447082804512</v>
      </c>
      <c r="AJ88" s="10">
        <v>30.636666615804035</v>
      </c>
      <c r="AK88" s="10">
        <v>31.206249952316284</v>
      </c>
      <c r="AL88" s="10">
        <v>31.55250005722046</v>
      </c>
      <c r="AM88" s="10">
        <v>0.88685062907967827</v>
      </c>
      <c r="AN88" s="10">
        <v>30.504932155609129</v>
      </c>
      <c r="AO88" s="10">
        <v>33.326201315379819</v>
      </c>
      <c r="AP88" s="10">
        <v>29.778798799061104</v>
      </c>
      <c r="AQ88" s="10">
        <v>-0.10132852158974638</v>
      </c>
      <c r="AR88" s="10">
        <v>1.590222822805688E-2</v>
      </c>
      <c r="AS88" s="10">
        <v>0.11242857174187469</v>
      </c>
      <c r="AT88" s="10">
        <v>63.416056359722113</v>
      </c>
      <c r="AU88" s="10">
        <v>40.566551524624018</v>
      </c>
      <c r="AV88" s="10">
        <v>12.271877854896317</v>
      </c>
      <c r="AW88" s="10">
        <v>35.904575403621848</v>
      </c>
      <c r="AX88" s="10">
        <v>-88.09107231467469</v>
      </c>
      <c r="AY88" s="10">
        <v>-61.579226414045074</v>
      </c>
      <c r="AZ88" s="10">
        <v>31.017205534159544</v>
      </c>
      <c r="BA88" s="10">
        <v>-2.5023307982495944E-2</v>
      </c>
      <c r="BB88" s="10">
        <v>-38.160023473000713</v>
      </c>
      <c r="BC88" s="10">
        <v>31.123999644287604</v>
      </c>
      <c r="BD88" s="10">
        <v>31.32120086214784</v>
      </c>
      <c r="BE88" s="10">
        <v>-3.5069419208170902E-2</v>
      </c>
      <c r="BF88" s="10">
        <v>31.388213111973215</v>
      </c>
      <c r="BG88" s="10">
        <v>31.470809367591063</v>
      </c>
      <c r="BH88" s="10">
        <v>-4.0013520474251767E-2</v>
      </c>
      <c r="BI88" s="10">
        <v>-32.436059151928724</v>
      </c>
      <c r="BJ88" s="10">
        <v>31.471612006187833</v>
      </c>
      <c r="BK88" s="10">
        <v>-4.0040045212873687E-2</v>
      </c>
      <c r="BL88" s="10">
        <v>-0.26421346768561094</v>
      </c>
      <c r="BM88" s="10">
        <v>-0.1540209753348516</v>
      </c>
      <c r="BN88" s="10">
        <v>-0.11019249235075934</v>
      </c>
      <c r="BO88" s="10">
        <v>-81.504329198036274</v>
      </c>
      <c r="BP88" s="10">
        <v>-56.57259184293067</v>
      </c>
      <c r="BQ88" s="10">
        <v>823255.5555555555</v>
      </c>
      <c r="BR88" s="10">
        <v>1072515</v>
      </c>
      <c r="BS88" s="10">
        <v>1175832</v>
      </c>
      <c r="BT88">
        <v>0.48422927941910854</v>
      </c>
      <c r="BU88">
        <v>0.13928476524803846</v>
      </c>
      <c r="BV88" s="10">
        <v>38.513514674548077</v>
      </c>
      <c r="BW88" s="10">
        <v>44.719327448753454</v>
      </c>
      <c r="BX88" s="10">
        <v>44.719327448753454</v>
      </c>
      <c r="BY88" s="10">
        <v>49.200279853613715</v>
      </c>
      <c r="BZ88" s="10">
        <v>-85.553702410588016</v>
      </c>
      <c r="CA88" s="10">
        <v>-70.07626978314353</v>
      </c>
      <c r="CB88" s="10">
        <v>0</v>
      </c>
      <c r="CC88" s="10">
        <v>0</v>
      </c>
      <c r="CD88" s="10">
        <v>0</v>
      </c>
      <c r="CE88" s="10">
        <v>0</v>
      </c>
      <c r="CF88" s="10">
        <v>0</v>
      </c>
      <c r="CG88" s="10">
        <v>0</v>
      </c>
      <c r="CH88" s="10">
        <v>0</v>
      </c>
      <c r="CI88" s="10">
        <v>0</v>
      </c>
      <c r="CJ88" s="10">
        <v>0</v>
      </c>
      <c r="CK88" s="10">
        <v>0</v>
      </c>
      <c r="CL88" s="10">
        <v>0</v>
      </c>
      <c r="CM88" s="10">
        <v>0</v>
      </c>
      <c r="CN88" s="10">
        <v>0</v>
      </c>
      <c r="CO88" s="10">
        <v>0</v>
      </c>
      <c r="CP88" s="10">
        <v>0</v>
      </c>
      <c r="CQ88" s="10">
        <v>0</v>
      </c>
      <c r="CR88" s="10">
        <v>0</v>
      </c>
      <c r="CS88" s="10">
        <v>0</v>
      </c>
      <c r="CT88" s="10">
        <v>0</v>
      </c>
      <c r="CU88" s="10">
        <v>0</v>
      </c>
      <c r="CV88" s="10">
        <v>0</v>
      </c>
      <c r="CW88" s="10">
        <v>0</v>
      </c>
      <c r="CX88" s="10" t="s">
        <v>172</v>
      </c>
      <c r="CY88" s="1" t="str">
        <f>VLOOKUP(bovespa_diario_last_date_1[[#This Row],[Stock]],Patterns!H:J,2,0)</f>
        <v>CDLSPINNINGTOP_Bull</v>
      </c>
      <c r="CZ88" s="5">
        <f>IF(RIGHT(bovespa_diario_last_date_1[[#This Row],[PATTERN]],4)="Bull",1,IF(RIGHT(bovespa_diario_last_date_1[[#This Row],[PATTERN]],4)="Bear",-1,0))</f>
        <v>1</v>
      </c>
    </row>
    <row r="89" spans="1:104" x14ac:dyDescent="0.25">
      <c r="A89" s="4">
        <v>44491</v>
      </c>
      <c r="B89" s="10">
        <v>27.280000686645508</v>
      </c>
      <c r="C89" s="10">
        <v>25.129999160766602</v>
      </c>
      <c r="D89" s="10">
        <v>26.610000610351563</v>
      </c>
      <c r="E89" s="10">
        <v>26.829999923706055</v>
      </c>
      <c r="F89" s="10">
        <v>2336000</v>
      </c>
      <c r="G89" s="10">
        <v>26.829999923706055</v>
      </c>
      <c r="H89" s="10">
        <v>27</v>
      </c>
      <c r="I89" s="10">
        <v>-6.296299121998028E-3</v>
      </c>
      <c r="J89" s="10">
        <v>-6.316204410402225E-3</v>
      </c>
      <c r="K89" s="10">
        <v>0.21999931335449219</v>
      </c>
      <c r="L89" s="10">
        <v>1.4800014495849609</v>
      </c>
      <c r="M89" s="10">
        <v>0.45000076293945313</v>
      </c>
      <c r="N89" s="10">
        <v>8.2335071540384948E-3</v>
      </c>
      <c r="O89" s="10">
        <v>6.7273003129795477</v>
      </c>
      <c r="P89" s="10">
        <v>2.0454643974926956</v>
      </c>
      <c r="Q89" s="10">
        <v>0.38133415667172565</v>
      </c>
      <c r="R89" s="10">
        <v>0.3866737792261139</v>
      </c>
      <c r="S89" s="10">
        <v>-6.3536350077400688E-2</v>
      </c>
      <c r="T89" s="10">
        <v>-86.50700029886778</v>
      </c>
      <c r="U89" s="10">
        <v>-80.9153163868408</v>
      </c>
      <c r="V89" s="10">
        <v>-34.771615489001135</v>
      </c>
      <c r="W89" s="10">
        <v>-69.064052638832678</v>
      </c>
      <c r="X89" s="10">
        <v>-2.5799999237060547</v>
      </c>
      <c r="Y89" s="10">
        <v>-0.26666683620876735</v>
      </c>
      <c r="Z89" s="10">
        <v>-2336000</v>
      </c>
      <c r="AA89" s="10">
        <v>63734000</v>
      </c>
      <c r="AB89" s="10">
        <v>-81.535183593812889</v>
      </c>
      <c r="AC89" s="10">
        <v>-40.956388418400287</v>
      </c>
      <c r="AD89" s="10">
        <v>19.935618021855124</v>
      </c>
      <c r="AE89" s="10">
        <v>82.182894843695692</v>
      </c>
      <c r="AF89" s="10">
        <v>-21.04034163640975</v>
      </c>
      <c r="AG89" s="10">
        <v>1.2528574807303292</v>
      </c>
      <c r="AH89" s="10">
        <v>74.827365191970543</v>
      </c>
      <c r="AI89" s="10">
        <v>-38.25625514272312</v>
      </c>
      <c r="AJ89" s="10">
        <v>27.406666437784832</v>
      </c>
      <c r="AK89" s="10">
        <v>28.861249923706055</v>
      </c>
      <c r="AL89" s="10">
        <v>29.273499965667725</v>
      </c>
      <c r="AM89" s="10">
        <v>1.312002297263118</v>
      </c>
      <c r="AN89" s="10">
        <v>28.382824707031251</v>
      </c>
      <c r="AO89" s="10">
        <v>31.897504560193962</v>
      </c>
      <c r="AP89" s="10">
        <v>26.649495371141487</v>
      </c>
      <c r="AQ89" s="10">
        <v>-0.18887456768162106</v>
      </c>
      <c r="AR89" s="10">
        <v>6.7277134952609483E-3</v>
      </c>
      <c r="AS89" s="10">
        <v>0.1792750848107468</v>
      </c>
      <c r="AT89" s="10">
        <v>66.611483414148154</v>
      </c>
      <c r="AU89" s="10">
        <v>24.076122997372142</v>
      </c>
      <c r="AV89" s="10">
        <v>9.0532865071501192</v>
      </c>
      <c r="AW89" s="10">
        <v>29.139878871026909</v>
      </c>
      <c r="AX89" s="10">
        <v>-88.584325702802204</v>
      </c>
      <c r="AY89" s="10">
        <v>74.304914892144723</v>
      </c>
      <c r="AZ89" s="10">
        <v>28.432483807996949</v>
      </c>
      <c r="BA89" s="10">
        <v>-5.9727316021160146E-2</v>
      </c>
      <c r="BB89" s="10">
        <v>-61.680170499409876</v>
      </c>
      <c r="BC89" s="10">
        <v>28.683856196921887</v>
      </c>
      <c r="BD89" s="10">
        <v>29.235140405384143</v>
      </c>
      <c r="BE89" s="10">
        <v>-8.9643700652901989E-2</v>
      </c>
      <c r="BF89" s="10">
        <v>29.465736213181792</v>
      </c>
      <c r="BG89" s="10">
        <v>30.081268808267563</v>
      </c>
      <c r="BH89" s="10">
        <v>-0.12118035385042249</v>
      </c>
      <c r="BI89" s="10">
        <v>-63.292498042973655</v>
      </c>
      <c r="BJ89" s="10">
        <v>28.809694319373474</v>
      </c>
      <c r="BK89" s="10">
        <v>-7.3786597141143856E-2</v>
      </c>
      <c r="BL89" s="10">
        <v>-0.78188001625990466</v>
      </c>
      <c r="BM89" s="10">
        <v>-0.59779007176271237</v>
      </c>
      <c r="BN89" s="10">
        <v>-0.18408994449719229</v>
      </c>
      <c r="BO89" s="10">
        <v>-86.61155159354459</v>
      </c>
      <c r="BP89" s="10">
        <v>79.735104021438758</v>
      </c>
      <c r="BQ89" s="10">
        <v>988288.88888888888</v>
      </c>
      <c r="BR89" s="10">
        <v>1070350</v>
      </c>
      <c r="BS89" s="10">
        <v>1147390</v>
      </c>
      <c r="BT89">
        <v>1.3636813347424281</v>
      </c>
      <c r="BU89">
        <v>1.1824636801046386</v>
      </c>
      <c r="BV89" s="10">
        <v>29.616729369903908</v>
      </c>
      <c r="BW89" s="10">
        <v>27.2106764304541</v>
      </c>
      <c r="BX89" s="10">
        <v>27.2106764304541</v>
      </c>
      <c r="BY89" s="10">
        <v>39.195892972189164</v>
      </c>
      <c r="BZ89" s="10">
        <v>-87.570457575946818</v>
      </c>
      <c r="CA89" s="10">
        <v>86.792002691730787</v>
      </c>
      <c r="CB89" s="10">
        <v>0</v>
      </c>
      <c r="CC89" s="10">
        <v>0</v>
      </c>
      <c r="CD89" s="10">
        <v>0</v>
      </c>
      <c r="CE89" s="10">
        <v>0</v>
      </c>
      <c r="CF89" s="10">
        <v>0</v>
      </c>
      <c r="CG89" s="10">
        <v>0</v>
      </c>
      <c r="CH89" s="10">
        <v>0</v>
      </c>
      <c r="CI89" s="10">
        <v>0</v>
      </c>
      <c r="CJ89" s="10">
        <v>0</v>
      </c>
      <c r="CK89" s="10">
        <v>0</v>
      </c>
      <c r="CL89" s="10">
        <v>0</v>
      </c>
      <c r="CM89" s="10">
        <v>0</v>
      </c>
      <c r="CN89" s="10">
        <v>0</v>
      </c>
      <c r="CO89" s="10">
        <v>0</v>
      </c>
      <c r="CP89" s="10">
        <v>0</v>
      </c>
      <c r="CQ89" s="10">
        <v>0</v>
      </c>
      <c r="CR89" s="10">
        <v>0</v>
      </c>
      <c r="CS89" s="10">
        <v>0</v>
      </c>
      <c r="CT89" s="10">
        <v>0</v>
      </c>
      <c r="CU89" s="10">
        <v>0</v>
      </c>
      <c r="CV89" s="10">
        <v>0</v>
      </c>
      <c r="CW89" s="10">
        <v>0</v>
      </c>
      <c r="CX89" s="10" t="s">
        <v>173</v>
      </c>
      <c r="CY89" s="1" t="str">
        <f>VLOOKUP(bovespa_diario_last_date_1[[#This Row],[Stock]],Patterns!H:J,2,0)</f>
        <v>CDLBELTHOLD_Bull</v>
      </c>
      <c r="CZ89" s="5">
        <f>IF(RIGHT(bovespa_diario_last_date_1[[#This Row],[PATTERN]],4)="Bull",1,IF(RIGHT(bovespa_diario_last_date_1[[#This Row],[PATTERN]],4)="Bear",-1,0))</f>
        <v>1</v>
      </c>
    </row>
    <row r="90" spans="1:104" x14ac:dyDescent="0.25">
      <c r="A90" s="4">
        <v>44491</v>
      </c>
      <c r="B90" s="10">
        <v>41.860000610351563</v>
      </c>
      <c r="C90" s="10">
        <v>37.169998168945313</v>
      </c>
      <c r="D90" s="10">
        <v>41.860000610351563</v>
      </c>
      <c r="E90" s="10">
        <v>40.139999389648438</v>
      </c>
      <c r="F90" s="10">
        <v>22538600</v>
      </c>
      <c r="G90" s="10">
        <v>40.139999389648438</v>
      </c>
      <c r="H90" s="10">
        <v>43</v>
      </c>
      <c r="I90" s="10">
        <v>-6.6511642101199087E-2</v>
      </c>
      <c r="J90" s="10">
        <v>-6.8826787530939987E-2</v>
      </c>
      <c r="K90" s="10">
        <v>1.720001220703125</v>
      </c>
      <c r="L90" s="10">
        <v>2.970001220703125</v>
      </c>
      <c r="M90" s="10">
        <v>0</v>
      </c>
      <c r="N90" s="10">
        <v>4.1951249285442076E-2</v>
      </c>
      <c r="O90" s="10">
        <v>1.726743670268448</v>
      </c>
      <c r="P90" s="10">
        <v>0</v>
      </c>
      <c r="Q90" s="10">
        <v>0.69825453299253526</v>
      </c>
      <c r="R90" s="10">
        <v>1.2134711510734</v>
      </c>
      <c r="S90" s="10">
        <v>-0.14643364120289154</v>
      </c>
      <c r="T90" s="10">
        <v>-84.613911123792022</v>
      </c>
      <c r="U90" s="10">
        <v>-77.138661687706744</v>
      </c>
      <c r="V90" s="10">
        <v>4.9542286374239373</v>
      </c>
      <c r="W90" s="10">
        <v>-71.288808603814559</v>
      </c>
      <c r="X90" s="10">
        <v>-9.8699989318847656</v>
      </c>
      <c r="Y90" s="10">
        <v>-0.60777791341145837</v>
      </c>
      <c r="Z90" s="10">
        <v>-22538600</v>
      </c>
      <c r="AA90" s="10">
        <v>107288327</v>
      </c>
      <c r="AB90" s="10">
        <v>-86.060354374303103</v>
      </c>
      <c r="AC90" s="10">
        <v>-41.677994590229822</v>
      </c>
      <c r="AD90" s="10">
        <v>26.651827106114105</v>
      </c>
      <c r="AE90" s="10">
        <v>47.603807714119306</v>
      </c>
      <c r="AF90" s="10">
        <v>-78.665865901920739</v>
      </c>
      <c r="AG90" s="10">
        <v>4.8671428135463168</v>
      </c>
      <c r="AH90" s="10">
        <v>-74.862879280572898</v>
      </c>
      <c r="AI90" s="10">
        <v>40.609869071098068</v>
      </c>
      <c r="AJ90" s="10">
        <v>43.879999796549477</v>
      </c>
      <c r="AK90" s="10">
        <v>46.845000267028809</v>
      </c>
      <c r="AL90" s="10">
        <v>48.227000427246097</v>
      </c>
      <c r="AM90" s="10">
        <v>5.2180678642063736</v>
      </c>
      <c r="AN90" s="10">
        <v>60.18638745307922</v>
      </c>
      <c r="AO90" s="10">
        <v>58.663136155658847</v>
      </c>
      <c r="AP90" s="10">
        <v>37.790864698833346</v>
      </c>
      <c r="AQ90" s="10">
        <v>-0.46146330462544244</v>
      </c>
      <c r="AR90" s="10">
        <v>5.852353578811717E-2</v>
      </c>
      <c r="AS90" s="10">
        <v>0.4327922382050865</v>
      </c>
      <c r="AT90" s="10">
        <v>-78.780435725503239</v>
      </c>
      <c r="AU90" s="10">
        <v>-74.351647105619747</v>
      </c>
      <c r="AV90" s="10">
        <v>20.728987435091582</v>
      </c>
      <c r="AW90" s="10">
        <v>34.898446395974943</v>
      </c>
      <c r="AX90" s="10">
        <v>-84.865227653348697</v>
      </c>
      <c r="AY90" s="10">
        <v>80.272079643539541</v>
      </c>
      <c r="AZ90" s="10">
        <v>45.718577277489672</v>
      </c>
      <c r="BA90" s="10">
        <v>-0.13897802622488017</v>
      </c>
      <c r="BB90" s="10">
        <v>-52.444478657851903</v>
      </c>
      <c r="BC90" s="10">
        <v>46.604945723548042</v>
      </c>
      <c r="BD90" s="10">
        <v>49.29285691969131</v>
      </c>
      <c r="BE90" s="10">
        <v>-0.2280233599705353</v>
      </c>
      <c r="BF90" s="10">
        <v>50.736554240974783</v>
      </c>
      <c r="BG90" s="10">
        <v>56.078163268834579</v>
      </c>
      <c r="BH90" s="10">
        <v>-0.39706437771636782</v>
      </c>
      <c r="BI90" s="10">
        <v>-73.445663254592546</v>
      </c>
      <c r="BJ90" s="10">
        <v>55.913425617767061</v>
      </c>
      <c r="BK90" s="10">
        <v>-0.3929603006468001</v>
      </c>
      <c r="BL90" s="10">
        <v>-4.1316085174267414</v>
      </c>
      <c r="BM90" s="10">
        <v>-4.1293602519306756</v>
      </c>
      <c r="BN90" s="10">
        <v>-2.2482654960658266E-3</v>
      </c>
      <c r="BO90" s="10">
        <v>-86.829736428823963</v>
      </c>
      <c r="BP90" s="10">
        <v>87.349690306333514</v>
      </c>
      <c r="BQ90" s="10">
        <v>9394700</v>
      </c>
      <c r="BR90" s="10">
        <v>10771185</v>
      </c>
      <c r="BS90" s="10">
        <v>4828822</v>
      </c>
      <c r="BT90">
        <v>1.3990760748081366</v>
      </c>
      <c r="BU90">
        <v>1.0924902877445701</v>
      </c>
      <c r="BV90" s="10">
        <v>19.866227887196217</v>
      </c>
      <c r="BW90" s="10">
        <v>38.70676887716737</v>
      </c>
      <c r="BX90" s="10">
        <v>38.70676887716737</v>
      </c>
      <c r="BY90" s="10">
        <v>44.900603392950245</v>
      </c>
      <c r="BZ90" s="10">
        <v>75.688208662995009</v>
      </c>
      <c r="CA90" s="10">
        <v>86.895316651719142</v>
      </c>
      <c r="CB90" s="10">
        <v>0</v>
      </c>
      <c r="CC90" s="10">
        <v>0</v>
      </c>
      <c r="CD90" s="10">
        <v>0</v>
      </c>
      <c r="CE90" s="10">
        <v>0</v>
      </c>
      <c r="CF90" s="10">
        <v>0</v>
      </c>
      <c r="CG90" s="10">
        <v>0</v>
      </c>
      <c r="CH90" s="10">
        <v>-1</v>
      </c>
      <c r="CI90" s="10">
        <v>0</v>
      </c>
      <c r="CJ90" s="10">
        <v>-1</v>
      </c>
      <c r="CK90" s="10">
        <v>0</v>
      </c>
      <c r="CL90" s="10">
        <v>0</v>
      </c>
      <c r="CM90" s="10">
        <v>0</v>
      </c>
      <c r="CN90" s="10">
        <v>0</v>
      </c>
      <c r="CO90" s="10">
        <v>0</v>
      </c>
      <c r="CP90" s="10">
        <v>0</v>
      </c>
      <c r="CQ90" s="10">
        <v>0</v>
      </c>
      <c r="CR90" s="10">
        <v>0</v>
      </c>
      <c r="CS90" s="10">
        <v>0</v>
      </c>
      <c r="CT90" s="10">
        <v>0</v>
      </c>
      <c r="CU90" s="10">
        <v>0</v>
      </c>
      <c r="CV90" s="10">
        <v>0</v>
      </c>
      <c r="CW90" s="10">
        <v>0</v>
      </c>
      <c r="CX90" s="10" t="s">
        <v>206</v>
      </c>
      <c r="CY90" s="1" t="str">
        <f>VLOOKUP(bovespa_diario_last_date_1[[#This Row],[Stock]],Patterns!H:J,2,0)</f>
        <v>CDLRICKSHAWMAN_Bull</v>
      </c>
      <c r="CZ90" s="5">
        <f>IF(RIGHT(bovespa_diario_last_date_1[[#This Row],[PATTERN]],4)="Bull",1,IF(RIGHT(bovespa_diario_last_date_1[[#This Row],[PATTERN]],4)="Bear",-1,0))</f>
        <v>1</v>
      </c>
    </row>
    <row r="91" spans="1:104" x14ac:dyDescent="0.25">
      <c r="A91" s="4">
        <v>44491</v>
      </c>
      <c r="B91" s="10">
        <v>11</v>
      </c>
      <c r="C91" s="10">
        <v>10.199999809265137</v>
      </c>
      <c r="D91" s="10">
        <v>10.939999580383301</v>
      </c>
      <c r="E91" s="10">
        <v>10.760000228881836</v>
      </c>
      <c r="F91" s="10">
        <v>4665400</v>
      </c>
      <c r="G91" s="10">
        <v>10.760000228881836</v>
      </c>
      <c r="H91" s="10">
        <v>11.140000343322754</v>
      </c>
      <c r="I91" s="10">
        <v>-3.4111319814158492E-2</v>
      </c>
      <c r="J91" s="10">
        <v>-3.4706689312871922E-2</v>
      </c>
      <c r="K91" s="10">
        <v>0.17999935150146484</v>
      </c>
      <c r="L91" s="10">
        <v>0.56000041961669922</v>
      </c>
      <c r="M91" s="10">
        <v>6.0000419616699219E-2</v>
      </c>
      <c r="N91" s="10">
        <v>1.6589802127519968E-2</v>
      </c>
      <c r="O91" s="10">
        <v>3.1111246509804338</v>
      </c>
      <c r="P91" s="10">
        <v>0.33333686547315661</v>
      </c>
      <c r="Q91" s="10">
        <v>0.39022216744832833</v>
      </c>
      <c r="R91" s="10">
        <v>0.46342822798382466</v>
      </c>
      <c r="S91" s="10">
        <v>-2.2059696793186489E-2</v>
      </c>
      <c r="T91" s="10">
        <v>-85.270842562549561</v>
      </c>
      <c r="U91" s="10">
        <v>-58.539822067123808</v>
      </c>
      <c r="V91" s="10">
        <v>31.220512834142262</v>
      </c>
      <c r="W91" s="10">
        <v>-53.685012934404355</v>
      </c>
      <c r="X91" s="10">
        <v>-0.52999973297119141</v>
      </c>
      <c r="Y91" s="10">
        <v>3.7777794731987849E-2</v>
      </c>
      <c r="Z91" s="10">
        <v>-4665400</v>
      </c>
      <c r="AA91" s="10">
        <v>32101200</v>
      </c>
      <c r="AB91" s="10">
        <v>-74.896138948479347</v>
      </c>
      <c r="AC91" s="10">
        <v>58.627279305468505</v>
      </c>
      <c r="AD91" s="10">
        <v>14.43548109437781</v>
      </c>
      <c r="AE91" s="10">
        <v>67.218513930322999</v>
      </c>
      <c r="AF91" s="10">
        <v>-55.247343952453939</v>
      </c>
      <c r="AG91" s="10">
        <v>0.49785702569144114</v>
      </c>
      <c r="AH91" s="10">
        <v>80.047032500701249</v>
      </c>
      <c r="AI91" s="10">
        <v>-43.908242038048563</v>
      </c>
      <c r="AJ91" s="10">
        <v>11.1866668065389</v>
      </c>
      <c r="AK91" s="10">
        <v>11.482500076293945</v>
      </c>
      <c r="AL91" s="10">
        <v>11.525500059127808</v>
      </c>
      <c r="AM91" s="10">
        <v>0.43749854173232833</v>
      </c>
      <c r="AN91" s="10">
        <v>13.305913734436036</v>
      </c>
      <c r="AO91" s="10">
        <v>12.400497142592464</v>
      </c>
      <c r="AP91" s="10">
        <v>10.650502975663152</v>
      </c>
      <c r="AQ91" s="10">
        <v>-0.15246253520582925</v>
      </c>
      <c r="AR91" s="10">
        <v>1.0176324432110464E-2</v>
      </c>
      <c r="AS91" s="10">
        <v>0.15183672360865383</v>
      </c>
      <c r="AT91" s="10">
        <v>34.110015846021319</v>
      </c>
      <c r="AU91" s="10">
        <v>-1.962133539938036</v>
      </c>
      <c r="AV91" s="10">
        <v>14.419008565730991</v>
      </c>
      <c r="AW91" s="10">
        <v>35.764849311293588</v>
      </c>
      <c r="AX91" s="10">
        <v>-88.515004229029074</v>
      </c>
      <c r="AY91" s="10">
        <v>75.049833504647182</v>
      </c>
      <c r="AZ91" s="10">
        <v>11.356728085582676</v>
      </c>
      <c r="BA91" s="10">
        <v>-5.545797806761299E-2</v>
      </c>
      <c r="BB91" s="10">
        <v>36.016707587559786</v>
      </c>
      <c r="BC91" s="10">
        <v>11.398861099272278</v>
      </c>
      <c r="BD91" s="10">
        <v>11.489342146668678</v>
      </c>
      <c r="BE91" s="10">
        <v>-6.7782704672175842E-2</v>
      </c>
      <c r="BF91" s="10">
        <v>11.541435856356284</v>
      </c>
      <c r="BG91" s="10">
        <v>11.854663706307177</v>
      </c>
      <c r="BH91" s="10">
        <v>-0.1017345217602376</v>
      </c>
      <c r="BI91" s="10">
        <v>-56.962013286258156</v>
      </c>
      <c r="BJ91" s="10">
        <v>12.743166896367658</v>
      </c>
      <c r="BK91" s="10">
        <v>-0.18430916592014884</v>
      </c>
      <c r="BL91" s="10">
        <v>-0.14257475708400591</v>
      </c>
      <c r="BM91" s="10">
        <v>-0.11714135780519286</v>
      </c>
      <c r="BN91" s="10">
        <v>-2.5433399278813051E-2</v>
      </c>
      <c r="BO91" s="10">
        <v>-84.269188684181842</v>
      </c>
      <c r="BP91" s="10">
        <v>67.610123573603275</v>
      </c>
      <c r="BQ91" s="10">
        <v>2574666.6666666665</v>
      </c>
      <c r="BR91" s="10">
        <v>2610515</v>
      </c>
      <c r="BS91" s="10">
        <v>3281963</v>
      </c>
      <c r="BT91">
        <v>0.81204039357845681</v>
      </c>
      <c r="BU91">
        <v>0.78715694029722094</v>
      </c>
      <c r="BV91" s="10">
        <v>29.946548336246206</v>
      </c>
      <c r="BW91" s="10">
        <v>43.805723533960823</v>
      </c>
      <c r="BX91" s="10">
        <v>43.805723533960823</v>
      </c>
      <c r="BY91" s="10">
        <v>58.098325297909319</v>
      </c>
      <c r="BZ91" s="10">
        <v>84.234282539690497</v>
      </c>
      <c r="CA91" s="10">
        <v>85.591335858604069</v>
      </c>
      <c r="CB91" s="10">
        <v>1</v>
      </c>
      <c r="CC91" s="10">
        <v>0</v>
      </c>
      <c r="CD91" s="10">
        <v>1</v>
      </c>
      <c r="CE91" s="10">
        <v>0</v>
      </c>
      <c r="CF91" s="10">
        <v>0</v>
      </c>
      <c r="CG91" s="10">
        <v>0</v>
      </c>
      <c r="CH91" s="10">
        <v>-1</v>
      </c>
      <c r="CI91" s="10">
        <v>0</v>
      </c>
      <c r="CJ91" s="10">
        <v>-1</v>
      </c>
      <c r="CK91" s="10">
        <v>-1</v>
      </c>
      <c r="CL91" s="10">
        <v>0</v>
      </c>
      <c r="CM91" s="10">
        <v>-1</v>
      </c>
      <c r="CN91" s="10">
        <v>0</v>
      </c>
      <c r="CO91" s="10">
        <v>0</v>
      </c>
      <c r="CP91" s="10">
        <v>0</v>
      </c>
      <c r="CQ91" s="10">
        <v>0</v>
      </c>
      <c r="CR91" s="10">
        <v>0</v>
      </c>
      <c r="CS91" s="10">
        <v>0</v>
      </c>
      <c r="CT91" s="10">
        <v>0</v>
      </c>
      <c r="CU91" s="10">
        <v>0</v>
      </c>
      <c r="CV91" s="10">
        <v>0</v>
      </c>
      <c r="CW91" s="10">
        <v>0</v>
      </c>
      <c r="CX91" s="10" t="s">
        <v>175</v>
      </c>
      <c r="CY91" s="1" t="str">
        <f>VLOOKUP(bovespa_diario_last_date_1[[#This Row],[Stock]],Patterns!H:J,2,0)</f>
        <v>CDLHIKKAKE_Bull</v>
      </c>
      <c r="CZ91" s="5">
        <f>IF(RIGHT(bovespa_diario_last_date_1[[#This Row],[PATTERN]],4)="Bull",1,IF(RIGHT(bovespa_diario_last_date_1[[#This Row],[PATTERN]],4)="Bear",-1,0))</f>
        <v>1</v>
      </c>
    </row>
    <row r="92" spans="1:104" x14ac:dyDescent="0.25">
      <c r="A92" s="4">
        <v>44491</v>
      </c>
      <c r="B92" s="10">
        <v>24.299999237060547</v>
      </c>
      <c r="C92" s="10">
        <v>23.440000534057617</v>
      </c>
      <c r="D92" s="10">
        <v>24.100000381469727</v>
      </c>
      <c r="E92" s="10">
        <v>24</v>
      </c>
      <c r="F92" s="10">
        <v>1768900</v>
      </c>
      <c r="G92" s="10">
        <v>24</v>
      </c>
      <c r="H92" s="10">
        <v>24.170000076293945</v>
      </c>
      <c r="I92" s="10">
        <v>-7.0335157533029102E-3</v>
      </c>
      <c r="J92" s="10">
        <v>-7.0583675240015013E-3</v>
      </c>
      <c r="K92" s="10">
        <v>0.10000038146972656</v>
      </c>
      <c r="L92" s="10">
        <v>0.55999946594238281</v>
      </c>
      <c r="M92" s="10">
        <v>0.19999885559082031</v>
      </c>
      <c r="N92" s="10">
        <v>4.1580199865549764E-3</v>
      </c>
      <c r="O92" s="10">
        <v>5.5999732972210037</v>
      </c>
      <c r="P92" s="10">
        <v>1.9999809265864312</v>
      </c>
      <c r="Q92" s="10">
        <v>0.22789138657700359</v>
      </c>
      <c r="R92" s="10">
        <v>0.13231031525101555</v>
      </c>
      <c r="S92" s="10">
        <v>-1.2492479749427118E-3</v>
      </c>
      <c r="T92" s="10">
        <v>-82.935945757885904</v>
      </c>
      <c r="U92" s="10">
        <v>-74.221691199868431</v>
      </c>
      <c r="V92" s="10">
        <v>20.23435246984727</v>
      </c>
      <c r="W92" s="10">
        <v>-16.199183422792672</v>
      </c>
      <c r="X92" s="10">
        <v>-0.40999984741210938</v>
      </c>
      <c r="Y92" s="10">
        <v>0.25111113654242623</v>
      </c>
      <c r="Z92" s="10">
        <v>-1768900</v>
      </c>
      <c r="AA92" s="10">
        <v>-37030200</v>
      </c>
      <c r="AB92" s="10">
        <v>-83.533421394917312</v>
      </c>
      <c r="AC92" s="10">
        <v>53.604823719306239</v>
      </c>
      <c r="AD92" s="10">
        <v>16.713930515688677</v>
      </c>
      <c r="AE92" s="10">
        <v>82.439040797406534</v>
      </c>
      <c r="AF92" s="10">
        <v>-29.142996650798143</v>
      </c>
      <c r="AG92" s="10">
        <v>0.47142832619803293</v>
      </c>
      <c r="AH92" s="10">
        <v>69.167078485530041</v>
      </c>
      <c r="AI92" s="10">
        <v>31.42400019128192</v>
      </c>
      <c r="AJ92" s="10">
        <v>24.226666768391926</v>
      </c>
      <c r="AK92" s="10">
        <v>24.576250076293945</v>
      </c>
      <c r="AL92" s="10">
        <v>24.497499942779541</v>
      </c>
      <c r="AM92" s="10">
        <v>0.29707115963707681</v>
      </c>
      <c r="AN92" s="10">
        <v>24.746903085708617</v>
      </c>
      <c r="AO92" s="10">
        <v>25.091642262053696</v>
      </c>
      <c r="AP92" s="10">
        <v>23.903357623505386</v>
      </c>
      <c r="AQ92" s="10">
        <v>-4.5485094252237346E-2</v>
      </c>
      <c r="AR92" s="10">
        <v>4.0267656872755948E-3</v>
      </c>
      <c r="AS92" s="10">
        <v>4.8506363560521154E-2</v>
      </c>
      <c r="AT92" s="10">
        <v>43.568962041347177</v>
      </c>
      <c r="AU92" s="10">
        <v>-29.602280954717674</v>
      </c>
      <c r="AV92" s="10">
        <v>12.380152110258408</v>
      </c>
      <c r="AW92" s="10">
        <v>36.160909099036466</v>
      </c>
      <c r="AX92" s="10">
        <v>-88.220041276496801</v>
      </c>
      <c r="AY92" s="10">
        <v>55.956900487747461</v>
      </c>
      <c r="AZ92" s="10">
        <v>24.419986787843694</v>
      </c>
      <c r="BA92" s="10">
        <v>-1.7499449493487251E-2</v>
      </c>
      <c r="BB92" s="10">
        <v>8.4145657229473869</v>
      </c>
      <c r="BC92" s="10">
        <v>24.45295183213846</v>
      </c>
      <c r="BD92" s="10">
        <v>24.49299135981655</v>
      </c>
      <c r="BE92" s="10">
        <v>-2.0541306659022911E-2</v>
      </c>
      <c r="BF92" s="10">
        <v>24.502083788847379</v>
      </c>
      <c r="BG92" s="10">
        <v>24.550934753863284</v>
      </c>
      <c r="BH92" s="10">
        <v>-2.2955614744303521E-2</v>
      </c>
      <c r="BI92" s="10">
        <v>-0.48767210552888757</v>
      </c>
      <c r="BJ92" s="10">
        <v>24.166661906532859</v>
      </c>
      <c r="BK92" s="10">
        <v>-6.9442461055357896E-3</v>
      </c>
      <c r="BL92" s="10">
        <v>-4.9131956708919233E-2</v>
      </c>
      <c r="BM92" s="10">
        <v>1.4094525187469641E-4</v>
      </c>
      <c r="BN92" s="10">
        <v>-4.9272901960793931E-2</v>
      </c>
      <c r="BO92" s="10">
        <v>-86.577716620577078</v>
      </c>
      <c r="BP92" s="10">
        <v>77.271556992533803</v>
      </c>
      <c r="BQ92" s="10">
        <v>1078122.2222222222</v>
      </c>
      <c r="BR92" s="10">
        <v>1176640</v>
      </c>
      <c r="BS92" s="10">
        <v>1552134.5</v>
      </c>
      <c r="BT92">
        <v>0.64072306788552114</v>
      </c>
      <c r="BU92">
        <v>0.50334851781343493</v>
      </c>
      <c r="BV92" s="10">
        <v>34.782603544828063</v>
      </c>
      <c r="BW92" s="10">
        <v>41.281713599255518</v>
      </c>
      <c r="BX92" s="10">
        <v>41.281713599255518</v>
      </c>
      <c r="BY92" s="10">
        <v>52.475861395175762</v>
      </c>
      <c r="BZ92" s="10">
        <v>-84.04026158983568</v>
      </c>
      <c r="CA92" s="10">
        <v>80.506902013148022</v>
      </c>
      <c r="CB92" s="10">
        <v>1</v>
      </c>
      <c r="CC92" s="10">
        <v>0</v>
      </c>
      <c r="CD92" s="10">
        <v>1</v>
      </c>
      <c r="CE92" s="10">
        <v>0</v>
      </c>
      <c r="CF92" s="10">
        <v>0</v>
      </c>
      <c r="CG92" s="10">
        <v>0</v>
      </c>
      <c r="CH92" s="10">
        <v>0</v>
      </c>
      <c r="CI92" s="10">
        <v>0</v>
      </c>
      <c r="CJ92" s="10">
        <v>0</v>
      </c>
      <c r="CK92" s="10">
        <v>-1</v>
      </c>
      <c r="CL92" s="10">
        <v>0</v>
      </c>
      <c r="CM92" s="10">
        <v>-1</v>
      </c>
      <c r="CN92" s="10">
        <v>0</v>
      </c>
      <c r="CO92" s="10">
        <v>0</v>
      </c>
      <c r="CP92" s="10">
        <v>0</v>
      </c>
      <c r="CQ92" s="10">
        <v>0</v>
      </c>
      <c r="CR92" s="10">
        <v>0</v>
      </c>
      <c r="CS92" s="10">
        <v>0</v>
      </c>
      <c r="CT92" s="10">
        <v>0</v>
      </c>
      <c r="CU92" s="10">
        <v>0</v>
      </c>
      <c r="CV92" s="10">
        <v>0</v>
      </c>
      <c r="CW92" s="10">
        <v>0</v>
      </c>
      <c r="CX92" s="10" t="s">
        <v>176</v>
      </c>
      <c r="CY92" s="1" t="str">
        <f>VLOOKUP(bovespa_diario_last_date_1[[#This Row],[Stock]],Patterns!H:J,2,0)</f>
        <v>CDL3OUTSIDE_Bear</v>
      </c>
      <c r="CZ92" s="5">
        <f>IF(RIGHT(bovespa_diario_last_date_1[[#This Row],[PATTERN]],4)="Bull",1,IF(RIGHT(bovespa_diario_last_date_1[[#This Row],[PATTERN]],4)="Bear",-1,0))</f>
        <v>-1</v>
      </c>
    </row>
    <row r="93" spans="1:104" x14ac:dyDescent="0.25">
      <c r="A93" s="4">
        <v>44491</v>
      </c>
      <c r="B93" s="10">
        <v>2.690000057220459</v>
      </c>
      <c r="C93" s="10">
        <v>2.5199999809265137</v>
      </c>
      <c r="D93" s="10">
        <v>2.6600000858306885</v>
      </c>
      <c r="E93" s="10">
        <v>2.630000114440918</v>
      </c>
      <c r="F93" s="10">
        <v>9693700</v>
      </c>
      <c r="G93" s="10">
        <v>2.630000114440918</v>
      </c>
      <c r="H93" s="10">
        <v>2.6400001049041748</v>
      </c>
      <c r="I93" s="10">
        <v>-3.787875024959475E-3</v>
      </c>
      <c r="J93" s="10">
        <v>-3.7950671913246289E-3</v>
      </c>
      <c r="K93" s="10">
        <v>2.9999971389770508E-2</v>
      </c>
      <c r="L93" s="10">
        <v>0.1100001335144043</v>
      </c>
      <c r="M93" s="10">
        <v>2.9999971389770508E-2</v>
      </c>
      <c r="N93" s="10">
        <v>1.1342143763333017E-2</v>
      </c>
      <c r="O93" s="10">
        <v>3.666674613960216</v>
      </c>
      <c r="P93" s="10">
        <v>1</v>
      </c>
      <c r="Q93" s="10">
        <v>0.39249336537301144</v>
      </c>
      <c r="R93" s="10">
        <v>0.42485240959697085</v>
      </c>
      <c r="S93" s="10">
        <v>-5.1863423610182674E-2</v>
      </c>
      <c r="T93" s="10">
        <v>-84.24607826103788</v>
      </c>
      <c r="U93" s="10">
        <v>-73.509276961294532</v>
      </c>
      <c r="V93" s="10">
        <v>-65.339100025559347</v>
      </c>
      <c r="W93" s="10">
        <v>-27.815269762784414</v>
      </c>
      <c r="X93" s="10">
        <v>-0.18999981880187988</v>
      </c>
      <c r="Y93" s="10">
        <v>-6.6666682561238602E-2</v>
      </c>
      <c r="Z93" s="10">
        <v>-9693700</v>
      </c>
      <c r="AA93" s="10">
        <v>73658400</v>
      </c>
      <c r="AB93" s="10">
        <v>-84.735210202691718</v>
      </c>
      <c r="AC93" s="10">
        <v>23.490779322967093</v>
      </c>
      <c r="AD93" s="10">
        <v>18.643898166987416</v>
      </c>
      <c r="AE93" s="10">
        <v>-72.410452316470398</v>
      </c>
      <c r="AF93" s="10">
        <v>-11.447093317165974</v>
      </c>
      <c r="AG93" s="10">
        <v>0.11428577559334892</v>
      </c>
      <c r="AH93" s="10">
        <v>41.366312680381974</v>
      </c>
      <c r="AI93" s="10">
        <v>24.491549405930126</v>
      </c>
      <c r="AJ93" s="10">
        <v>2.68666672706604</v>
      </c>
      <c r="AK93" s="10">
        <v>2.7850000262260437</v>
      </c>
      <c r="AL93" s="10">
        <v>2.815000021457672</v>
      </c>
      <c r="AM93" s="10">
        <v>9.5724388807128621E-2</v>
      </c>
      <c r="AN93" s="10">
        <v>2.8307608354091642</v>
      </c>
      <c r="AO93" s="10">
        <v>3.0064487990719293</v>
      </c>
      <c r="AP93" s="10">
        <v>2.6235512438434148</v>
      </c>
      <c r="AQ93" s="10">
        <v>-0.14313637576059052</v>
      </c>
      <c r="AR93" s="10">
        <v>2.4520419455852766E-3</v>
      </c>
      <c r="AS93" s="10">
        <v>0.13602044487027795</v>
      </c>
      <c r="AT93" s="10">
        <v>-56.325328079352872</v>
      </c>
      <c r="AU93" s="10">
        <v>-48.13180103769885</v>
      </c>
      <c r="AV93" s="10">
        <v>9.8022663471847125</v>
      </c>
      <c r="AW93" s="10">
        <v>34.000094313868289</v>
      </c>
      <c r="AX93" s="10">
        <v>-88.701148700842282</v>
      </c>
      <c r="AY93" s="10">
        <v>-84.752106734586448</v>
      </c>
      <c r="AZ93" s="10">
        <v>2.7596813694994489</v>
      </c>
      <c r="BA93" s="10">
        <v>-4.9308459853849997E-2</v>
      </c>
      <c r="BB93" s="10">
        <v>-46.936763589336358</v>
      </c>
      <c r="BC93" s="10">
        <v>2.773206379478852</v>
      </c>
      <c r="BD93" s="10">
        <v>2.7838209772958145</v>
      </c>
      <c r="BE93" s="10">
        <v>-5.8487017551934799E-2</v>
      </c>
      <c r="BF93" s="10">
        <v>2.7856675399728053</v>
      </c>
      <c r="BG93" s="10">
        <v>2.806400446986324</v>
      </c>
      <c r="BH93" s="10">
        <v>-6.7072366870563782E-2</v>
      </c>
      <c r="BI93" s="10">
        <v>0.27508874637298286</v>
      </c>
      <c r="BJ93" s="10">
        <v>2.8581097964308744</v>
      </c>
      <c r="BK93" s="10">
        <v>-8.6733715613714971E-2</v>
      </c>
      <c r="BL93" s="10">
        <v>-1.2461160493953294E-2</v>
      </c>
      <c r="BM93" s="10">
        <v>1.1376746679347358E-2</v>
      </c>
      <c r="BN93" s="10">
        <v>-2.383790717330065E-2</v>
      </c>
      <c r="BO93" s="10">
        <v>-83.038994916124679</v>
      </c>
      <c r="BP93" s="10">
        <v>-76.774337106245881</v>
      </c>
      <c r="BQ93" s="10">
        <v>4214544.444444444</v>
      </c>
      <c r="BR93" s="10">
        <v>4481145</v>
      </c>
      <c r="BS93" s="10">
        <v>6768472.5</v>
      </c>
      <c r="BT93">
        <v>1.3000587911175323</v>
      </c>
      <c r="BU93">
        <v>1.1632194450302324</v>
      </c>
      <c r="BV93" s="10">
        <v>23.404282301784132</v>
      </c>
      <c r="BW93" s="10">
        <v>15.420487865942158</v>
      </c>
      <c r="BX93" s="10">
        <v>15.420487865942158</v>
      </c>
      <c r="BY93" s="10">
        <v>23.205639583066144</v>
      </c>
      <c r="BZ93" s="10">
        <v>-87.568384794508233</v>
      </c>
      <c r="CA93" s="10">
        <v>-86.652192523986869</v>
      </c>
      <c r="CB93" s="10">
        <v>0</v>
      </c>
      <c r="CC93" s="10">
        <v>0</v>
      </c>
      <c r="CD93" s="10">
        <v>0</v>
      </c>
      <c r="CE93" s="10">
        <v>0</v>
      </c>
      <c r="CF93" s="10">
        <v>0</v>
      </c>
      <c r="CG93" s="10">
        <v>0</v>
      </c>
      <c r="CH93" s="10">
        <v>0</v>
      </c>
      <c r="CI93" s="10">
        <v>0</v>
      </c>
      <c r="CJ93" s="10">
        <v>0</v>
      </c>
      <c r="CK93" s="10">
        <v>0</v>
      </c>
      <c r="CL93" s="10">
        <v>0</v>
      </c>
      <c r="CM93" s="10">
        <v>0</v>
      </c>
      <c r="CN93" s="10">
        <v>0</v>
      </c>
      <c r="CO93" s="10">
        <v>0</v>
      </c>
      <c r="CP93" s="10">
        <v>0</v>
      </c>
      <c r="CQ93" s="10">
        <v>0</v>
      </c>
      <c r="CR93" s="10">
        <v>0</v>
      </c>
      <c r="CS93" s="10">
        <v>0</v>
      </c>
      <c r="CT93" s="10">
        <v>0</v>
      </c>
      <c r="CU93" s="10">
        <v>0</v>
      </c>
      <c r="CV93" s="10">
        <v>0</v>
      </c>
      <c r="CW93" s="10">
        <v>0</v>
      </c>
      <c r="CX93" s="10" t="s">
        <v>177</v>
      </c>
      <c r="CY93" s="1" t="str">
        <f>VLOOKUP(bovespa_diario_last_date_1[[#This Row],[Stock]],Patterns!H:J,2,0)</f>
        <v>CDLBELTHOLD_Bull</v>
      </c>
      <c r="CZ93" s="5">
        <f>IF(RIGHT(bovespa_diario_last_date_1[[#This Row],[PATTERN]],4)="Bull",1,IF(RIGHT(bovespa_diario_last_date_1[[#This Row],[PATTERN]],4)="Bear",-1,0))</f>
        <v>1</v>
      </c>
    </row>
    <row r="94" spans="1:104" x14ac:dyDescent="0.25">
      <c r="A94" s="4">
        <v>44491</v>
      </c>
      <c r="B94" s="10">
        <v>11.659999847412109</v>
      </c>
      <c r="C94" s="10">
        <v>11</v>
      </c>
      <c r="D94" s="10">
        <v>11.649999618530273</v>
      </c>
      <c r="E94" s="10">
        <v>11.399999618530273</v>
      </c>
      <c r="F94" s="10">
        <v>4217100</v>
      </c>
      <c r="G94" s="10">
        <v>11.399999618530273</v>
      </c>
      <c r="H94" s="10">
        <v>11.789999961853027</v>
      </c>
      <c r="I94" s="10">
        <v>-3.3078909633979192E-2</v>
      </c>
      <c r="J94" s="10">
        <v>-3.3638389375550824E-2</v>
      </c>
      <c r="K94" s="10">
        <v>0.25</v>
      </c>
      <c r="L94" s="10">
        <v>0.39999961853027344</v>
      </c>
      <c r="M94" s="10">
        <v>1.0000228881835938E-2</v>
      </c>
      <c r="N94" s="10">
        <v>2.1691974687620966E-2</v>
      </c>
      <c r="O94" s="10">
        <v>1.5999984741210938</v>
      </c>
      <c r="P94" s="10">
        <v>4.000091552734375E-2</v>
      </c>
      <c r="Q94" s="10">
        <v>0.29970066428775111</v>
      </c>
      <c r="R94" s="10">
        <v>0.34852722454465335</v>
      </c>
      <c r="S94" s="10">
        <v>-3.617966422116542E-2</v>
      </c>
      <c r="T94" s="10">
        <v>-84.325295286470123</v>
      </c>
      <c r="U94" s="10">
        <v>-60.489395627542258</v>
      </c>
      <c r="V94" s="10">
        <v>-27.297559939286213</v>
      </c>
      <c r="W94" s="10">
        <v>-7.737023730037575</v>
      </c>
      <c r="X94" s="10">
        <v>-0.75</v>
      </c>
      <c r="Y94" s="10">
        <v>1.4444563123914931E-2</v>
      </c>
      <c r="Z94" s="10">
        <v>-4217100</v>
      </c>
      <c r="AA94" s="10">
        <v>2544600</v>
      </c>
      <c r="AB94" s="10">
        <v>-84.520017148026554</v>
      </c>
      <c r="AC94" s="10">
        <v>-77.477508281638421</v>
      </c>
      <c r="AD94" s="10">
        <v>12.867681510162191</v>
      </c>
      <c r="AE94" s="10">
        <v>75.001614404083014</v>
      </c>
      <c r="AF94" s="10">
        <v>69.487682638836134</v>
      </c>
      <c r="AG94" s="10">
        <v>0.41928584235055105</v>
      </c>
      <c r="AH94" s="10">
        <v>62.555874563280483</v>
      </c>
      <c r="AI94" s="10">
        <v>40.504175417868339</v>
      </c>
      <c r="AJ94" s="10">
        <v>11.75</v>
      </c>
      <c r="AK94" s="10">
        <v>11.941249966621399</v>
      </c>
      <c r="AL94" s="10">
        <v>11.944999885559081</v>
      </c>
      <c r="AM94" s="10">
        <v>0.21283805539838349</v>
      </c>
      <c r="AN94" s="10">
        <v>12.202672653198242</v>
      </c>
      <c r="AO94" s="10">
        <v>12.370675996355848</v>
      </c>
      <c r="AP94" s="10">
        <v>11.519323774762315</v>
      </c>
      <c r="AQ94" s="10">
        <v>-8.514705353566647E-2</v>
      </c>
      <c r="AR94" s="10">
        <v>-1.0467031598675174E-2</v>
      </c>
      <c r="AS94" s="10">
        <v>7.1272685621602744E-2</v>
      </c>
      <c r="AT94" s="10">
        <v>-38.82869060309492</v>
      </c>
      <c r="AU94" s="10">
        <v>-29.046040510936603</v>
      </c>
      <c r="AV94" s="10">
        <v>16.670615521672119</v>
      </c>
      <c r="AW94" s="10">
        <v>37.69253271584337</v>
      </c>
      <c r="AX94" s="10">
        <v>-88.324421554739743</v>
      </c>
      <c r="AY94" s="10">
        <v>-67.587594487484182</v>
      </c>
      <c r="AZ94" s="10">
        <v>11.874317526226129</v>
      </c>
      <c r="BA94" s="10">
        <v>-4.160683540066698E-2</v>
      </c>
      <c r="BB94" s="10">
        <v>3.4016363451970397</v>
      </c>
      <c r="BC94" s="10">
        <v>11.898698802267715</v>
      </c>
      <c r="BD94" s="10">
        <v>11.921385937900348</v>
      </c>
      <c r="BE94" s="10">
        <v>-4.5735643580424423E-2</v>
      </c>
      <c r="BF94" s="10">
        <v>11.928153838847729</v>
      </c>
      <c r="BG94" s="10">
        <v>11.986370377406523</v>
      </c>
      <c r="BH94" s="10">
        <v>-5.1436033201538507E-2</v>
      </c>
      <c r="BI94" s="10">
        <v>-1.7758262899306039</v>
      </c>
      <c r="BJ94" s="10">
        <v>12.263340735374133</v>
      </c>
      <c r="BK94" s="10">
        <v>-7.5731679450280892E-2</v>
      </c>
      <c r="BL94" s="10">
        <v>-2.9455036580014138E-2</v>
      </c>
      <c r="BM94" s="10">
        <v>1.0226964179547597E-2</v>
      </c>
      <c r="BN94" s="10">
        <v>-3.9682000759561735E-2</v>
      </c>
      <c r="BO94" s="10">
        <v>-84.729127068904717</v>
      </c>
      <c r="BP94" s="10">
        <v>-44.009016040157533</v>
      </c>
      <c r="BQ94" s="10">
        <v>2153611.111111111</v>
      </c>
      <c r="BR94" s="10">
        <v>1921165</v>
      </c>
      <c r="BS94" s="10">
        <v>2054762.5</v>
      </c>
      <c r="BT94">
        <v>0.9581529730426932</v>
      </c>
      <c r="BU94">
        <v>1.195074342911723</v>
      </c>
      <c r="BV94" s="10">
        <v>27.210853460507185</v>
      </c>
      <c r="BW94" s="10">
        <v>34.362652050518953</v>
      </c>
      <c r="BX94" s="10">
        <v>34.362652050518953</v>
      </c>
      <c r="BY94" s="10">
        <v>45.721667518434458</v>
      </c>
      <c r="BZ94" s="10">
        <v>-71.967371415851275</v>
      </c>
      <c r="CA94" s="10">
        <v>-50.598523549500015</v>
      </c>
      <c r="CB94" s="10">
        <v>1</v>
      </c>
      <c r="CC94" s="10">
        <v>0</v>
      </c>
      <c r="CD94" s="10">
        <v>1</v>
      </c>
      <c r="CE94" s="10">
        <v>0</v>
      </c>
      <c r="CF94" s="10">
        <v>0</v>
      </c>
      <c r="CG94" s="10">
        <v>0</v>
      </c>
      <c r="CH94" s="10">
        <v>0</v>
      </c>
      <c r="CI94" s="10">
        <v>0</v>
      </c>
      <c r="CJ94" s="10">
        <v>0</v>
      </c>
      <c r="CK94" s="10">
        <v>-1</v>
      </c>
      <c r="CL94" s="10">
        <v>0</v>
      </c>
      <c r="CM94" s="10">
        <v>-1</v>
      </c>
      <c r="CN94" s="10">
        <v>0</v>
      </c>
      <c r="CO94" s="10">
        <v>0</v>
      </c>
      <c r="CP94" s="10">
        <v>0</v>
      </c>
      <c r="CQ94" s="10">
        <v>0</v>
      </c>
      <c r="CR94" s="10">
        <v>0</v>
      </c>
      <c r="CS94" s="10">
        <v>0</v>
      </c>
      <c r="CT94" s="10">
        <v>0</v>
      </c>
      <c r="CU94" s="10">
        <v>0</v>
      </c>
      <c r="CV94" s="10">
        <v>0</v>
      </c>
      <c r="CW94" s="10">
        <v>0</v>
      </c>
      <c r="CX94" s="10" t="s">
        <v>178</v>
      </c>
      <c r="CY94" s="1" t="str">
        <f>VLOOKUP(bovespa_diario_last_date_1[[#This Row],[Stock]],Patterns!H:J,2,0)</f>
        <v>NO_PATTERN</v>
      </c>
      <c r="CZ94" s="5">
        <f>IF(RIGHT(bovespa_diario_last_date_1[[#This Row],[PATTERN]],4)="Bull",1,IF(RIGHT(bovespa_diario_last_date_1[[#This Row],[PATTERN]],4)="Bear",-1,0))</f>
        <v>0</v>
      </c>
    </row>
    <row r="95" spans="1:104" x14ac:dyDescent="0.25">
      <c r="A95" s="4">
        <v>44491</v>
      </c>
      <c r="B95" s="10">
        <v>37.150001525878906</v>
      </c>
      <c r="C95" s="10">
        <v>35</v>
      </c>
      <c r="D95" s="10">
        <v>36.130001068115234</v>
      </c>
      <c r="E95" s="10">
        <v>36.720001220703125</v>
      </c>
      <c r="F95" s="10">
        <v>2072100</v>
      </c>
      <c r="G95" s="10">
        <v>36.720001220703125</v>
      </c>
      <c r="H95" s="10">
        <v>36.509998321533203</v>
      </c>
      <c r="I95" s="10">
        <v>5.7519284805351845E-3</v>
      </c>
      <c r="J95" s="10">
        <v>5.735449301090198E-3</v>
      </c>
      <c r="K95" s="10">
        <v>0.59000015258789063</v>
      </c>
      <c r="L95" s="10">
        <v>1.1300010681152344</v>
      </c>
      <c r="M95" s="10">
        <v>0.43000030517578125</v>
      </c>
      <c r="N95" s="10">
        <v>1.6197670118081764E-2</v>
      </c>
      <c r="O95" s="10">
        <v>1.9152555523227621</v>
      </c>
      <c r="P95" s="10">
        <v>0.72881388808069048</v>
      </c>
      <c r="Q95" s="10">
        <v>0.3607857607237609</v>
      </c>
      <c r="R95" s="10">
        <v>0.30326245013837561</v>
      </c>
      <c r="S95" s="10">
        <v>2.3420337229044505E-2</v>
      </c>
      <c r="T95" s="10">
        <v>-81.577602387348563</v>
      </c>
      <c r="U95" s="10">
        <v>-15.977325870979936</v>
      </c>
      <c r="V95" s="10">
        <v>70.419463330709789</v>
      </c>
      <c r="W95" s="10">
        <v>76.505252800684815</v>
      </c>
      <c r="X95" s="10">
        <v>0.37000274658203125</v>
      </c>
      <c r="Y95" s="10">
        <v>2.3922225104437933</v>
      </c>
      <c r="Z95" s="10">
        <v>2072100</v>
      </c>
      <c r="AA95" s="10">
        <v>103019900</v>
      </c>
      <c r="AB95" s="10">
        <v>-40.925086360699702</v>
      </c>
      <c r="AC95" s="10">
        <v>61.159123596945626</v>
      </c>
      <c r="AD95" s="10">
        <v>28.643602846909072</v>
      </c>
      <c r="AE95" s="10">
        <v>-73.19742706136266</v>
      </c>
      <c r="AF95" s="10">
        <v>85.306833237893471</v>
      </c>
      <c r="AG95" s="10">
        <v>1.2135718209402901</v>
      </c>
      <c r="AH95" s="10">
        <v>79.106902677717486</v>
      </c>
      <c r="AI95" s="10">
        <v>-44.527725157012142</v>
      </c>
      <c r="AJ95" s="10">
        <v>37.159999847412109</v>
      </c>
      <c r="AK95" s="10">
        <v>37.496250152587891</v>
      </c>
      <c r="AL95" s="10">
        <v>35.947000122070314</v>
      </c>
      <c r="AM95" s="10">
        <v>1.64721807683226</v>
      </c>
      <c r="AN95" s="10">
        <v>32.265877590179443</v>
      </c>
      <c r="AO95" s="10">
        <v>39.241436275734834</v>
      </c>
      <c r="AP95" s="10">
        <v>32.652563968405794</v>
      </c>
      <c r="AQ95" s="10">
        <v>-6.8666529717055058E-2</v>
      </c>
      <c r="AR95" s="10">
        <v>0.11076898466996965</v>
      </c>
      <c r="AS95" s="10">
        <v>0.18329407975503589</v>
      </c>
      <c r="AT95" s="10">
        <v>-80.263216832474001</v>
      </c>
      <c r="AU95" s="10">
        <v>46.234964873964465</v>
      </c>
      <c r="AV95" s="10">
        <v>35.830060719076428</v>
      </c>
      <c r="AW95" s="10">
        <v>55.411781882487233</v>
      </c>
      <c r="AX95" s="10">
        <v>-88.595873449903905</v>
      </c>
      <c r="AY95" s="10">
        <v>-76.598741950025342</v>
      </c>
      <c r="AZ95" s="10">
        <v>37.011536587687232</v>
      </c>
      <c r="BA95" s="10">
        <v>-7.9394160482689751E-3</v>
      </c>
      <c r="BB95" s="10">
        <v>76.721257908836492</v>
      </c>
      <c r="BC95" s="10">
        <v>36.76445166299699</v>
      </c>
      <c r="BD95" s="10">
        <v>35.950477346441659</v>
      </c>
      <c r="BE95" s="10">
        <v>2.0956531826790914E-2</v>
      </c>
      <c r="BF95" s="10">
        <v>35.575676229256594</v>
      </c>
      <c r="BG95" s="10">
        <v>34.524507815835101</v>
      </c>
      <c r="BH95" s="10">
        <v>5.9790123417266715E-2</v>
      </c>
      <c r="BI95" s="10">
        <v>75.144560467803387</v>
      </c>
      <c r="BJ95" s="10">
        <v>31.624853289463946</v>
      </c>
      <c r="BK95" s="10">
        <v>0.13875674732729804</v>
      </c>
      <c r="BL95" s="10">
        <v>1.1887754337403962</v>
      </c>
      <c r="BM95" s="10">
        <v>1.2055812934357384</v>
      </c>
      <c r="BN95" s="10">
        <v>-1.6805859695342207E-2</v>
      </c>
      <c r="BO95" s="10">
        <v>-86.943805862830246</v>
      </c>
      <c r="BP95" s="10">
        <v>-78.031348623000426</v>
      </c>
      <c r="BQ95" s="10">
        <v>1498444.4444444445</v>
      </c>
      <c r="BR95" s="10">
        <v>1540175</v>
      </c>
      <c r="BS95" s="10">
        <v>1331308</v>
      </c>
      <c r="BT95">
        <v>0.38283405012605654</v>
      </c>
      <c r="BU95">
        <v>0.34536659795153146</v>
      </c>
      <c r="BV95" s="10">
        <v>50.933329264322914</v>
      </c>
      <c r="BW95" s="10">
        <v>65.425538791937697</v>
      </c>
      <c r="BX95" s="10">
        <v>65.425538791937697</v>
      </c>
      <c r="BY95" s="10">
        <v>76.88146216517363</v>
      </c>
      <c r="BZ95" s="10">
        <v>-86.241937491009722</v>
      </c>
      <c r="CA95" s="10">
        <v>23.291501791865269</v>
      </c>
      <c r="CB95" s="10">
        <v>1</v>
      </c>
      <c r="CC95" s="10">
        <v>0</v>
      </c>
      <c r="CD95" s="10">
        <v>1</v>
      </c>
      <c r="CE95" s="10">
        <v>0</v>
      </c>
      <c r="CF95" s="10">
        <v>0</v>
      </c>
      <c r="CG95" s="10">
        <v>0</v>
      </c>
      <c r="CH95" s="10">
        <v>-1</v>
      </c>
      <c r="CI95" s="10">
        <v>0</v>
      </c>
      <c r="CJ95" s="10">
        <v>-1</v>
      </c>
      <c r="CK95" s="10">
        <v>-1</v>
      </c>
      <c r="CL95" s="10">
        <v>0</v>
      </c>
      <c r="CM95" s="10">
        <v>-1</v>
      </c>
      <c r="CN95" s="10">
        <v>0</v>
      </c>
      <c r="CO95" s="10">
        <v>0</v>
      </c>
      <c r="CP95" s="10">
        <v>0</v>
      </c>
      <c r="CQ95" s="10">
        <v>0</v>
      </c>
      <c r="CR95" s="10">
        <v>0</v>
      </c>
      <c r="CS95" s="10">
        <v>0</v>
      </c>
      <c r="CT95" s="10">
        <v>0</v>
      </c>
      <c r="CU95" s="10">
        <v>0</v>
      </c>
      <c r="CV95" s="10">
        <v>0</v>
      </c>
      <c r="CW95" s="10">
        <v>0</v>
      </c>
      <c r="CX95" s="10" t="s">
        <v>179</v>
      </c>
      <c r="CY95" s="1" t="str">
        <f>VLOOKUP(bovespa_diario_last_date_1[[#This Row],[Stock]],Patterns!H:J,2,0)</f>
        <v>NO_PATTERN</v>
      </c>
      <c r="CZ95" s="5">
        <f>IF(RIGHT(bovespa_diario_last_date_1[[#This Row],[PATTERN]],4)="Bull",1,IF(RIGHT(bovespa_diario_last_date_1[[#This Row],[PATTERN]],4)="Bear",-1,0))</f>
        <v>0</v>
      </c>
    </row>
    <row r="96" spans="1:104" x14ac:dyDescent="0.25">
      <c r="A96" s="4">
        <v>44491</v>
      </c>
      <c r="B96" s="10">
        <v>79.199996948242188</v>
      </c>
      <c r="C96" s="10">
        <v>73.720001220703125</v>
      </c>
      <c r="D96" s="10">
        <v>78.900001525878906</v>
      </c>
      <c r="E96" s="10">
        <v>78.089996337890625</v>
      </c>
      <c r="F96" s="10">
        <v>1168100</v>
      </c>
      <c r="G96" s="10">
        <v>78.089996337890625</v>
      </c>
      <c r="H96" s="10">
        <v>79.739997863769531</v>
      </c>
      <c r="I96" s="10">
        <v>-2.0692269501910721E-2</v>
      </c>
      <c r="J96" s="10">
        <v>-2.09093543846872E-2</v>
      </c>
      <c r="K96" s="10">
        <v>0.81000518798828125</v>
      </c>
      <c r="L96" s="10">
        <v>4.3699951171875</v>
      </c>
      <c r="M96" s="10">
        <v>0.29999542236328125</v>
      </c>
      <c r="N96" s="10">
        <v>1.0319194840567814E-2</v>
      </c>
      <c r="O96" s="10">
        <v>5.3950211455321231</v>
      </c>
      <c r="P96" s="10">
        <v>0.37036234682440261</v>
      </c>
      <c r="Q96" s="10">
        <v>0.36449152119504891</v>
      </c>
      <c r="R96" s="10">
        <v>0.52384142137480294</v>
      </c>
      <c r="S96" s="10">
        <v>-1.688824186919707E-2</v>
      </c>
      <c r="T96" s="10">
        <v>-86.273467298581167</v>
      </c>
      <c r="U96" s="10">
        <v>-79.504741193453114</v>
      </c>
      <c r="V96" s="10">
        <v>49.140578865359053</v>
      </c>
      <c r="W96" s="10">
        <v>-41.162528063449024</v>
      </c>
      <c r="X96" s="10">
        <v>-6.0100021362304688</v>
      </c>
      <c r="Y96" s="10">
        <v>2.174443562825521</v>
      </c>
      <c r="Z96" s="10">
        <v>-1168100</v>
      </c>
      <c r="AA96" s="10">
        <v>12772800</v>
      </c>
      <c r="AB96" s="10">
        <v>-86.139891173587259</v>
      </c>
      <c r="AC96" s="10">
        <v>-63.148725886876477</v>
      </c>
      <c r="AD96" s="10">
        <v>18.411202159944882</v>
      </c>
      <c r="AE96" s="10">
        <v>-81.771343563659158</v>
      </c>
      <c r="AF96" s="10">
        <v>-81.191363445679926</v>
      </c>
      <c r="AG96" s="10">
        <v>3.7978575570242747</v>
      </c>
      <c r="AH96" s="10">
        <v>84.824145853481184</v>
      </c>
      <c r="AI96" s="10">
        <v>74.048923102094591</v>
      </c>
      <c r="AJ96" s="10">
        <v>80.153330485026046</v>
      </c>
      <c r="AK96" s="10">
        <v>84.036249160766602</v>
      </c>
      <c r="AL96" s="10">
        <v>83.428499984741208</v>
      </c>
      <c r="AM96" s="10">
        <v>3.5588833902765229</v>
      </c>
      <c r="AN96" s="10">
        <v>82.051458168029782</v>
      </c>
      <c r="AO96" s="10">
        <v>90.546266765294249</v>
      </c>
      <c r="AP96" s="10">
        <v>76.310733204188168</v>
      </c>
      <c r="AQ96" s="10">
        <v>-0.15951173020300968</v>
      </c>
      <c r="AR96" s="10">
        <v>2.2784776759416082E-2</v>
      </c>
      <c r="AS96" s="10">
        <v>0.1706315415440732</v>
      </c>
      <c r="AT96" s="10">
        <v>54.936138079321822</v>
      </c>
      <c r="AU96" s="10">
        <v>64.348742179543876</v>
      </c>
      <c r="AV96" s="10">
        <v>12.514280644876109</v>
      </c>
      <c r="AW96" s="10">
        <v>35.722845067179676</v>
      </c>
      <c r="AX96" s="10">
        <v>-88.494619129851756</v>
      </c>
      <c r="AY96" s="10">
        <v>78.279431236826298</v>
      </c>
      <c r="AZ96" s="10">
        <v>82.431832137293881</v>
      </c>
      <c r="BA96" s="10">
        <v>-5.5600409822231252E-2</v>
      </c>
      <c r="BB96" s="10">
        <v>26.676740464697783</v>
      </c>
      <c r="BC96" s="10">
        <v>82.804550009374196</v>
      </c>
      <c r="BD96" s="10">
        <v>83.54692512749665</v>
      </c>
      <c r="BE96" s="10">
        <v>-6.9879998021695741E-2</v>
      </c>
      <c r="BF96" s="10">
        <v>83.944791863886124</v>
      </c>
      <c r="BG96" s="10">
        <v>85.56896599868405</v>
      </c>
      <c r="BH96" s="10">
        <v>-9.5773722775352454E-2</v>
      </c>
      <c r="BI96" s="10">
        <v>-41.501284616483979</v>
      </c>
      <c r="BJ96" s="10">
        <v>81.523194571633056</v>
      </c>
      <c r="BK96" s="10">
        <v>-4.3964635609498461E-2</v>
      </c>
      <c r="BL96" s="10">
        <v>-1.1402418545119275</v>
      </c>
      <c r="BM96" s="10">
        <v>-0.85830857677253658</v>
      </c>
      <c r="BN96" s="10">
        <v>-0.28193327773939092</v>
      </c>
      <c r="BO96" s="10">
        <v>-88.280693450353539</v>
      </c>
      <c r="BP96" s="10">
        <v>81.285116790600441</v>
      </c>
      <c r="BQ96" s="10">
        <v>845033.33333333337</v>
      </c>
      <c r="BR96" s="10">
        <v>890650</v>
      </c>
      <c r="BS96" s="10">
        <v>669034.5</v>
      </c>
      <c r="BT96">
        <v>0.38231233481913929</v>
      </c>
      <c r="BU96">
        <v>0.31151406276315052</v>
      </c>
      <c r="BV96" s="10">
        <v>26.842723862760867</v>
      </c>
      <c r="BW96" s="10">
        <v>28.862702409741249</v>
      </c>
      <c r="BX96" s="10">
        <v>28.862702409741249</v>
      </c>
      <c r="BY96" s="10">
        <v>40.682498066565074</v>
      </c>
      <c r="BZ96" s="10">
        <v>-88.467158640024067</v>
      </c>
      <c r="CA96" s="10">
        <v>87.173209022721693</v>
      </c>
      <c r="CB96" s="10">
        <v>1</v>
      </c>
      <c r="CC96" s="10">
        <v>0</v>
      </c>
      <c r="CD96" s="10">
        <v>1</v>
      </c>
      <c r="CE96" s="10">
        <v>0</v>
      </c>
      <c r="CF96" s="10">
        <v>0</v>
      </c>
      <c r="CG96" s="10">
        <v>0</v>
      </c>
      <c r="CH96" s="10">
        <v>-1</v>
      </c>
      <c r="CI96" s="10">
        <v>0</v>
      </c>
      <c r="CJ96" s="10">
        <v>-1</v>
      </c>
      <c r="CK96" s="10">
        <v>-1</v>
      </c>
      <c r="CL96" s="10">
        <v>0</v>
      </c>
      <c r="CM96" s="10">
        <v>-1</v>
      </c>
      <c r="CN96" s="10">
        <v>0</v>
      </c>
      <c r="CO96" s="10">
        <v>0</v>
      </c>
      <c r="CP96" s="10">
        <v>0</v>
      </c>
      <c r="CQ96" s="10">
        <v>0</v>
      </c>
      <c r="CR96" s="10">
        <v>0</v>
      </c>
      <c r="CS96" s="10">
        <v>0</v>
      </c>
      <c r="CT96" s="10">
        <v>0</v>
      </c>
      <c r="CU96" s="10">
        <v>0</v>
      </c>
      <c r="CV96" s="10">
        <v>0</v>
      </c>
      <c r="CW96" s="10">
        <v>0</v>
      </c>
      <c r="CX96" s="10" t="s">
        <v>180</v>
      </c>
      <c r="CY96" s="1" t="str">
        <f>VLOOKUP(bovespa_diario_last_date_1[[#This Row],[Stock]],Patterns!H:J,2,0)</f>
        <v>CDLBELTHOLD_Bear</v>
      </c>
      <c r="CZ96" s="5">
        <f>IF(RIGHT(bovespa_diario_last_date_1[[#This Row],[PATTERN]],4)="Bull",1,IF(RIGHT(bovespa_diario_last_date_1[[#This Row],[PATTERN]],4)="Bear",-1,0))</f>
        <v>-1</v>
      </c>
    </row>
    <row r="97" spans="1:104" x14ac:dyDescent="0.25">
      <c r="A97" s="4">
        <v>44491</v>
      </c>
      <c r="B97" s="10">
        <v>17.909999847412109</v>
      </c>
      <c r="C97" s="10">
        <v>16.489999771118164</v>
      </c>
      <c r="D97" s="10">
        <v>17.860000610351563</v>
      </c>
      <c r="E97" s="10">
        <v>17.209999084472656</v>
      </c>
      <c r="F97" s="10">
        <v>3148900</v>
      </c>
      <c r="G97" s="10">
        <v>17.209999084472656</v>
      </c>
      <c r="H97" s="10">
        <v>18.100000381469727</v>
      </c>
      <c r="I97" s="10">
        <v>-4.9171341339209529E-2</v>
      </c>
      <c r="J97" s="10">
        <v>-5.0421402321413941E-2</v>
      </c>
      <c r="K97" s="10">
        <v>0.65000152587890625</v>
      </c>
      <c r="L97" s="10">
        <v>0.71999931335449219</v>
      </c>
      <c r="M97" s="10">
        <v>4.9999237060546875E-2</v>
      </c>
      <c r="N97" s="10">
        <v>3.706880704506172E-2</v>
      </c>
      <c r="O97" s="10">
        <v>1.1076886510088384</v>
      </c>
      <c r="P97" s="10">
        <v>7.6921722595866049E-2</v>
      </c>
      <c r="Q97" s="10">
        <v>0.44782425235384521</v>
      </c>
      <c r="R97" s="10">
        <v>0.45144115606324142</v>
      </c>
      <c r="S97" s="10">
        <v>-3.08949588953834E-2</v>
      </c>
      <c r="T97" s="10">
        <v>-86.87527843960099</v>
      </c>
      <c r="U97" s="10">
        <v>-76.139431537203507</v>
      </c>
      <c r="V97" s="10">
        <v>33.982444939655096</v>
      </c>
      <c r="W97" s="10">
        <v>67.055945527536778</v>
      </c>
      <c r="X97" s="10">
        <v>-1.1200008392333984</v>
      </c>
      <c r="Y97" s="10">
        <v>0.75111071268717444</v>
      </c>
      <c r="Z97" s="10">
        <v>-3148900</v>
      </c>
      <c r="AA97" s="10">
        <v>21597200</v>
      </c>
      <c r="AB97" s="10">
        <v>-86.513756739184871</v>
      </c>
      <c r="AC97" s="10">
        <v>-28.012557692288279</v>
      </c>
      <c r="AD97" s="10">
        <v>33.338257053856786</v>
      </c>
      <c r="AE97" s="10">
        <v>-76.629669707533822</v>
      </c>
      <c r="AF97" s="10">
        <v>81.496768090784087</v>
      </c>
      <c r="AG97" s="10">
        <v>0.875</v>
      </c>
      <c r="AH97" s="10">
        <v>5.7268074282376986</v>
      </c>
      <c r="AI97" s="10">
        <v>73.301580276195423</v>
      </c>
      <c r="AJ97" s="10">
        <v>18.093332926432293</v>
      </c>
      <c r="AK97" s="10">
        <v>18.75124979019165</v>
      </c>
      <c r="AL97" s="10">
        <v>18.225000000000001</v>
      </c>
      <c r="AM97" s="10">
        <v>0.7660939527410624</v>
      </c>
      <c r="AN97" s="10">
        <v>15.027400002479553</v>
      </c>
      <c r="AO97" s="10">
        <v>19.757187905482127</v>
      </c>
      <c r="AP97" s="10">
        <v>16.692812094517876</v>
      </c>
      <c r="AQ97" s="10">
        <v>-0.14800633100019253</v>
      </c>
      <c r="AR97" s="10">
        <v>3.0051540817419373E-2</v>
      </c>
      <c r="AS97" s="10">
        <v>0.1681413339349383</v>
      </c>
      <c r="AT97" s="10">
        <v>-80.220548418206903</v>
      </c>
      <c r="AU97" s="10">
        <v>-70.679069065334531</v>
      </c>
      <c r="AV97" s="10">
        <v>9.2693606444268397</v>
      </c>
      <c r="AW97" s="10">
        <v>38.801467813037952</v>
      </c>
      <c r="AX97" s="10">
        <v>-88.960355946745878</v>
      </c>
      <c r="AY97" s="10">
        <v>-81.395734791143553</v>
      </c>
      <c r="AZ97" s="10">
        <v>18.383504510716566</v>
      </c>
      <c r="BA97" s="10">
        <v>-6.8187419446331027E-2</v>
      </c>
      <c r="BB97" s="10">
        <v>68.695426870649726</v>
      </c>
      <c r="BC97" s="10">
        <v>18.34734780832105</v>
      </c>
      <c r="BD97" s="10">
        <v>18.018245617155689</v>
      </c>
      <c r="BE97" s="10">
        <v>-4.6963775460758451E-2</v>
      </c>
      <c r="BF97" s="10">
        <v>17.812482480593587</v>
      </c>
      <c r="BG97" s="10">
        <v>17.064123940936462</v>
      </c>
      <c r="BH97" s="10">
        <v>8.4761854326771777E-3</v>
      </c>
      <c r="BI97" s="10">
        <v>74.74600318190349</v>
      </c>
      <c r="BJ97" s="10">
        <v>15.604629944678184</v>
      </c>
      <c r="BK97" s="10">
        <v>9.3281186821379994E-2</v>
      </c>
      <c r="BL97" s="10">
        <v>0.53486532772746287</v>
      </c>
      <c r="BM97" s="10">
        <v>0.70716370414240637</v>
      </c>
      <c r="BN97" s="10">
        <v>-0.1722983764149435</v>
      </c>
      <c r="BO97" s="10">
        <v>-87.398829663527096</v>
      </c>
      <c r="BP97" s="10">
        <v>-80.304873881657116</v>
      </c>
      <c r="BQ97" s="10">
        <v>2307377.777777778</v>
      </c>
      <c r="BR97" s="10">
        <v>2152890</v>
      </c>
      <c r="BS97" s="10">
        <v>1822730</v>
      </c>
      <c r="BT97">
        <v>0.36470933816164552</v>
      </c>
      <c r="BU97">
        <v>0.46263859277529273</v>
      </c>
      <c r="BV97" s="10">
        <v>21.301748101398683</v>
      </c>
      <c r="BW97" s="10">
        <v>38.40489444409944</v>
      </c>
      <c r="BX97" s="10">
        <v>38.40489444409944</v>
      </c>
      <c r="BY97" s="10">
        <v>57.523710392687484</v>
      </c>
      <c r="BZ97" s="10">
        <v>-87.509018435864306</v>
      </c>
      <c r="CA97" s="10">
        <v>-72.03325189168919</v>
      </c>
      <c r="CB97" s="10">
        <v>1</v>
      </c>
      <c r="CC97" s="10">
        <v>0</v>
      </c>
      <c r="CD97" s="10">
        <v>1</v>
      </c>
      <c r="CE97" s="10">
        <v>0</v>
      </c>
      <c r="CF97" s="10">
        <v>0</v>
      </c>
      <c r="CG97" s="10">
        <v>0</v>
      </c>
      <c r="CH97" s="10">
        <v>0</v>
      </c>
      <c r="CI97" s="10">
        <v>0</v>
      </c>
      <c r="CJ97" s="10">
        <v>0</v>
      </c>
      <c r="CK97" s="10">
        <v>-1</v>
      </c>
      <c r="CL97" s="10">
        <v>0</v>
      </c>
      <c r="CM97" s="10">
        <v>-1</v>
      </c>
      <c r="CN97" s="10">
        <v>0</v>
      </c>
      <c r="CO97" s="10">
        <v>0</v>
      </c>
      <c r="CP97" s="10">
        <v>0</v>
      </c>
      <c r="CQ97" s="10">
        <v>0</v>
      </c>
      <c r="CR97" s="10">
        <v>1</v>
      </c>
      <c r="CS97" s="10">
        <v>1</v>
      </c>
      <c r="CT97" s="10">
        <v>0</v>
      </c>
      <c r="CU97" s="10">
        <v>0</v>
      </c>
      <c r="CV97" s="10">
        <v>0</v>
      </c>
      <c r="CW97" s="10">
        <v>0</v>
      </c>
      <c r="CX97" s="10" t="s">
        <v>181</v>
      </c>
      <c r="CY97" s="1" t="str">
        <f>VLOOKUP(bovespa_diario_last_date_1[[#This Row],[Stock]],Patterns!H:J,2,0)</f>
        <v>CDLHARAMI_Bear</v>
      </c>
      <c r="CZ97" s="5">
        <f>IF(RIGHT(bovespa_diario_last_date_1[[#This Row],[PATTERN]],4)="Bull",1,IF(RIGHT(bovespa_diario_last_date_1[[#This Row],[PATTERN]],4)="Bear",-1,0))</f>
        <v>-1</v>
      </c>
    </row>
    <row r="98" spans="1:104" x14ac:dyDescent="0.25">
      <c r="A98" s="4">
        <v>44491</v>
      </c>
      <c r="B98" s="10">
        <v>7.6999998092651367</v>
      </c>
      <c r="C98" s="10">
        <v>6.9099998474121094</v>
      </c>
      <c r="D98" s="10">
        <v>7.6700000762939453</v>
      </c>
      <c r="E98" s="10">
        <v>7.369999885559082</v>
      </c>
      <c r="F98" s="10">
        <v>6610600</v>
      </c>
      <c r="G98" s="10">
        <v>7.369999885559082</v>
      </c>
      <c r="H98" s="10">
        <v>7.7699999809265137</v>
      </c>
      <c r="I98" s="10">
        <v>-5.1480063880223415E-2</v>
      </c>
      <c r="J98" s="10">
        <v>-5.2852471251490833E-2</v>
      </c>
      <c r="K98" s="10">
        <v>0.30000019073486328</v>
      </c>
      <c r="L98" s="10">
        <v>0.46000003814697266</v>
      </c>
      <c r="M98" s="10">
        <v>2.9999732971191406E-2</v>
      </c>
      <c r="N98" s="10">
        <v>3.9893642486140177E-2</v>
      </c>
      <c r="O98" s="10">
        <v>1.5333324856233688</v>
      </c>
      <c r="P98" s="10">
        <v>9.999904632628992E-2</v>
      </c>
      <c r="Q98" s="10">
        <v>0.32403484478883704</v>
      </c>
      <c r="R98" s="10">
        <v>0.3851021606869437</v>
      </c>
      <c r="S98" s="10">
        <v>-3.7287969631470068E-2</v>
      </c>
      <c r="T98" s="10">
        <v>-85.73943072878977</v>
      </c>
      <c r="U98" s="10">
        <v>-76.601239131089955</v>
      </c>
      <c r="V98" s="10">
        <v>5.2713277799259348</v>
      </c>
      <c r="W98" s="10">
        <v>-28.717573108244462</v>
      </c>
      <c r="X98" s="10">
        <v>-0.65999984741210938</v>
      </c>
      <c r="Y98" s="10">
        <v>0.1266665988498264</v>
      </c>
      <c r="Z98" s="10">
        <v>-6610600</v>
      </c>
      <c r="AA98" s="10">
        <v>34682600</v>
      </c>
      <c r="AB98" s="10">
        <v>-87.287879579214206</v>
      </c>
      <c r="AC98" s="10">
        <v>-51.252137158076202</v>
      </c>
      <c r="AD98" s="10">
        <v>18.73484386141822</v>
      </c>
      <c r="AE98" s="10">
        <v>78.600143753158633</v>
      </c>
      <c r="AF98" s="10">
        <v>-75.732042526354761</v>
      </c>
      <c r="AG98" s="10">
        <v>0.34571429661342074</v>
      </c>
      <c r="AH98" s="10">
        <v>82.829963458506796</v>
      </c>
      <c r="AI98" s="10">
        <v>70.605593428730231</v>
      </c>
      <c r="AJ98" s="10">
        <v>7.6899998982747393</v>
      </c>
      <c r="AK98" s="10">
        <v>8.0637499094009399</v>
      </c>
      <c r="AL98" s="10">
        <v>8.0209999561309822</v>
      </c>
      <c r="AM98" s="10">
        <v>0.26459304172949005</v>
      </c>
      <c r="AN98" s="10">
        <v>8.7652900743484494</v>
      </c>
      <c r="AO98" s="10">
        <v>8.5501860395899616</v>
      </c>
      <c r="AP98" s="10">
        <v>7.4918138726720018</v>
      </c>
      <c r="AQ98" s="10">
        <v>-0.16013380900362817</v>
      </c>
      <c r="AR98" s="10">
        <v>-1.6528356717020368E-2</v>
      </c>
      <c r="AS98" s="10">
        <v>0.13195015243816025</v>
      </c>
      <c r="AT98" s="10">
        <v>16.019486936489091</v>
      </c>
      <c r="AU98" s="10">
        <v>-49.119268700190794</v>
      </c>
      <c r="AV98" s="10">
        <v>9.6412524347497026</v>
      </c>
      <c r="AW98" s="10">
        <v>30.231530543433394</v>
      </c>
      <c r="AX98" s="10">
        <v>-88.961960272097372</v>
      </c>
      <c r="AY98" s="10">
        <v>81.008045551448305</v>
      </c>
      <c r="AZ98" s="10">
        <v>7.9197174008153191</v>
      </c>
      <c r="BA98" s="10">
        <v>-7.4588537827980694E-2</v>
      </c>
      <c r="BB98" s="10">
        <v>3.8930843334806968</v>
      </c>
      <c r="BC98" s="10">
        <v>7.965890180626932</v>
      </c>
      <c r="BD98" s="10">
        <v>8.0595236926462395</v>
      </c>
      <c r="BE98" s="10">
        <v>-9.3558184232570132E-2</v>
      </c>
      <c r="BF98" s="10">
        <v>8.1018701124892694</v>
      </c>
      <c r="BG98" s="10">
        <v>8.2747157858878868</v>
      </c>
      <c r="BH98" s="10">
        <v>-0.1227565691149497</v>
      </c>
      <c r="BI98" s="10">
        <v>-38.803165212845975</v>
      </c>
      <c r="BJ98" s="10">
        <v>8.8320184793096921</v>
      </c>
      <c r="BK98" s="10">
        <v>-0.19837430345356138</v>
      </c>
      <c r="BL98" s="10">
        <v>-0.13597993186233737</v>
      </c>
      <c r="BM98" s="10">
        <v>-9.8571442172051965E-2</v>
      </c>
      <c r="BN98" s="10">
        <v>-3.7408489690285401E-2</v>
      </c>
      <c r="BO98" s="10">
        <v>-85.814213308281083</v>
      </c>
      <c r="BP98" s="10">
        <v>76.339008304004082</v>
      </c>
      <c r="BQ98" s="10">
        <v>2406333.3333333335</v>
      </c>
      <c r="BR98" s="10">
        <v>2504895</v>
      </c>
      <c r="BS98" s="10">
        <v>2173261</v>
      </c>
      <c r="BT98">
        <v>1.7471671976728076</v>
      </c>
      <c r="BU98">
        <v>1.639072695661894</v>
      </c>
      <c r="BV98" s="10">
        <v>28.930817232833263</v>
      </c>
      <c r="BW98" s="10">
        <v>33.405985409805666</v>
      </c>
      <c r="BX98" s="10">
        <v>33.405985409805666</v>
      </c>
      <c r="BY98" s="10">
        <v>49.419158878353237</v>
      </c>
      <c r="BZ98" s="10">
        <v>-88.332471227211087</v>
      </c>
      <c r="CA98" s="10">
        <v>87.708059279646903</v>
      </c>
      <c r="CB98" s="10">
        <v>1</v>
      </c>
      <c r="CC98" s="10">
        <v>0</v>
      </c>
      <c r="CD98" s="10">
        <v>1</v>
      </c>
      <c r="CE98" s="10">
        <v>0</v>
      </c>
      <c r="CF98" s="10">
        <v>0</v>
      </c>
      <c r="CG98" s="10">
        <v>0</v>
      </c>
      <c r="CH98" s="10">
        <v>-1</v>
      </c>
      <c r="CI98" s="10">
        <v>0</v>
      </c>
      <c r="CJ98" s="10">
        <v>-1</v>
      </c>
      <c r="CK98" s="10">
        <v>-1</v>
      </c>
      <c r="CL98" s="10">
        <v>0</v>
      </c>
      <c r="CM98" s="10">
        <v>-1</v>
      </c>
      <c r="CN98" s="10">
        <v>0</v>
      </c>
      <c r="CO98" s="10">
        <v>0</v>
      </c>
      <c r="CP98" s="10">
        <v>0</v>
      </c>
      <c r="CQ98" s="10">
        <v>0</v>
      </c>
      <c r="CR98" s="10">
        <v>1</v>
      </c>
      <c r="CS98" s="10">
        <v>1</v>
      </c>
      <c r="CT98" s="10">
        <v>0</v>
      </c>
      <c r="CU98" s="10">
        <v>0</v>
      </c>
      <c r="CV98" s="10">
        <v>0</v>
      </c>
      <c r="CW98" s="10">
        <v>0</v>
      </c>
      <c r="CX98" s="10" t="s">
        <v>182</v>
      </c>
      <c r="CY98" s="1" t="str">
        <f>VLOOKUP(bovespa_diario_last_date_1[[#This Row],[Stock]],Patterns!H:J,2,0)</f>
        <v>CDLBELTHOLD_Bull</v>
      </c>
      <c r="CZ98" s="5">
        <f>IF(RIGHT(bovespa_diario_last_date_1[[#This Row],[PATTERN]],4)="Bull",1,IF(RIGHT(bovespa_diario_last_date_1[[#This Row],[PATTERN]],4)="Bear",-1,0))</f>
        <v>1</v>
      </c>
    </row>
    <row r="99" spans="1:104" x14ac:dyDescent="0.25">
      <c r="A99" s="4">
        <v>44491</v>
      </c>
      <c r="B99" s="10">
        <v>46.919998168945313</v>
      </c>
      <c r="C99" s="10">
        <v>43.430000305175781</v>
      </c>
      <c r="D99" s="10">
        <v>46.040000915527344</v>
      </c>
      <c r="E99" s="10">
        <v>46.299999237060547</v>
      </c>
      <c r="F99" s="10">
        <v>2318300</v>
      </c>
      <c r="G99" s="10">
        <v>46.299999237060547</v>
      </c>
      <c r="H99" s="10">
        <v>46.200000762939453</v>
      </c>
      <c r="I99" s="10">
        <v>2.1644691010764827E-3</v>
      </c>
      <c r="J99" s="10">
        <v>2.1621300124802846E-3</v>
      </c>
      <c r="K99" s="10">
        <v>0.25999832153320313</v>
      </c>
      <c r="L99" s="10">
        <v>2.6100006103515625</v>
      </c>
      <c r="M99" s="10">
        <v>0.61999893188476563</v>
      </c>
      <c r="N99" s="10">
        <v>5.6313259931463511E-3</v>
      </c>
      <c r="O99" s="10">
        <v>10.038528691110232</v>
      </c>
      <c r="P99" s="10">
        <v>2.3846266707748285</v>
      </c>
      <c r="Q99" s="10">
        <v>0.38341751314541861</v>
      </c>
      <c r="R99" s="10">
        <v>0.39576220481771929</v>
      </c>
      <c r="S99" s="10">
        <v>-1.2449223438770874E-2</v>
      </c>
      <c r="T99" s="10">
        <v>-82.475274845710203</v>
      </c>
      <c r="U99" s="10">
        <v>-76.15847528755414</v>
      </c>
      <c r="V99" s="10">
        <v>19.895147298556896</v>
      </c>
      <c r="W99" s="10">
        <v>73.208434966808156</v>
      </c>
      <c r="X99" s="10">
        <v>-1.1700019836425781</v>
      </c>
      <c r="Y99" s="10">
        <v>2.5100004408094616</v>
      </c>
      <c r="Z99" s="10">
        <v>2318300</v>
      </c>
      <c r="AA99" s="10">
        <v>19906000</v>
      </c>
      <c r="AB99" s="10">
        <v>-72.709149650709648</v>
      </c>
      <c r="AC99" s="10">
        <v>63.509779370591524</v>
      </c>
      <c r="AD99" s="10">
        <v>23.121028556945408</v>
      </c>
      <c r="AE99" s="10">
        <v>-78.522607244895099</v>
      </c>
      <c r="AF99" s="10">
        <v>71.80471052523491</v>
      </c>
      <c r="AG99" s="10">
        <v>1.9357136317661829</v>
      </c>
      <c r="AH99" s="10">
        <v>-66.344999616516361</v>
      </c>
      <c r="AI99" s="10">
        <v>18.314673221910439</v>
      </c>
      <c r="AJ99" s="10">
        <v>46.729999542236328</v>
      </c>
      <c r="AK99" s="10">
        <v>47.860000133514404</v>
      </c>
      <c r="AL99" s="10">
        <v>46.331999969482425</v>
      </c>
      <c r="AM99" s="10">
        <v>2.3933980662495133</v>
      </c>
      <c r="AN99" s="10">
        <v>44.326577672958372</v>
      </c>
      <c r="AO99" s="10">
        <v>51.118796101981452</v>
      </c>
      <c r="AP99" s="10">
        <v>41.545203836983397</v>
      </c>
      <c r="AQ99" s="10">
        <v>-0.10407768778241641</v>
      </c>
      <c r="AR99" s="10">
        <v>0.10269536670469755</v>
      </c>
      <c r="AS99" s="10">
        <v>0.20663023981921586</v>
      </c>
      <c r="AT99" s="10">
        <v>-86.151199577518952</v>
      </c>
      <c r="AU99" s="10">
        <v>84.180149836893975</v>
      </c>
      <c r="AV99" s="10">
        <v>18.115506271503151</v>
      </c>
      <c r="AW99" s="10">
        <v>47.578209395719497</v>
      </c>
      <c r="AX99" s="10">
        <v>-88.254467480821546</v>
      </c>
      <c r="AY99" s="10">
        <v>-82.827068504126871</v>
      </c>
      <c r="AZ99" s="10">
        <v>47.251440626849387</v>
      </c>
      <c r="BA99" s="10">
        <v>-2.0549490398852208E-2</v>
      </c>
      <c r="BB99" s="10">
        <v>50.455777047417911</v>
      </c>
      <c r="BC99" s="10">
        <v>47.123015881937683</v>
      </c>
      <c r="BD99" s="10">
        <v>46.504770565349745</v>
      </c>
      <c r="BE99" s="10">
        <v>-4.4227069473748437E-3</v>
      </c>
      <c r="BF99" s="10">
        <v>46.215024531727806</v>
      </c>
      <c r="BG99" s="10">
        <v>45.628336612650557</v>
      </c>
      <c r="BH99" s="10">
        <v>1.4506752386128804E-2</v>
      </c>
      <c r="BI99" s="10">
        <v>60.575682611718562</v>
      </c>
      <c r="BJ99" s="10">
        <v>42.54741221647005</v>
      </c>
      <c r="BK99" s="10">
        <v>8.1049397028645345E-2</v>
      </c>
      <c r="BL99" s="10">
        <v>0.9079913502098762</v>
      </c>
      <c r="BM99" s="10">
        <v>1.0532505850123917</v>
      </c>
      <c r="BN99" s="10">
        <v>-0.14525923480251546</v>
      </c>
      <c r="BO99" s="10">
        <v>-88.685494130504907</v>
      </c>
      <c r="BP99" s="10">
        <v>-85.445749710546963</v>
      </c>
      <c r="BQ99" s="10">
        <v>1445466.6666666667</v>
      </c>
      <c r="BR99" s="10">
        <v>1507315</v>
      </c>
      <c r="BS99" s="10">
        <v>1355513.5</v>
      </c>
      <c r="BT99">
        <v>0.60384189650401243</v>
      </c>
      <c r="BU99">
        <v>0.53803285975393322</v>
      </c>
      <c r="BV99" s="10">
        <v>43.950987264867393</v>
      </c>
      <c r="BW99" s="10">
        <v>49.577854925200278</v>
      </c>
      <c r="BX99" s="10">
        <v>49.577854925200278</v>
      </c>
      <c r="BY99" s="10">
        <v>62.730226854023321</v>
      </c>
      <c r="BZ99" s="10">
        <v>-87.081778866537178</v>
      </c>
      <c r="CA99" s="10">
        <v>-11.572376956820701</v>
      </c>
      <c r="CB99" s="10">
        <v>1</v>
      </c>
      <c r="CC99" s="10">
        <v>0</v>
      </c>
      <c r="CD99" s="10">
        <v>1</v>
      </c>
      <c r="CE99" s="10">
        <v>0</v>
      </c>
      <c r="CF99" s="10">
        <v>0</v>
      </c>
      <c r="CG99" s="10">
        <v>0</v>
      </c>
      <c r="CH99" s="10">
        <v>0</v>
      </c>
      <c r="CI99" s="10">
        <v>0</v>
      </c>
      <c r="CJ99" s="10">
        <v>0</v>
      </c>
      <c r="CK99" s="10">
        <v>-1</v>
      </c>
      <c r="CL99" s="10">
        <v>0</v>
      </c>
      <c r="CM99" s="10">
        <v>-1</v>
      </c>
      <c r="CN99" s="10">
        <v>0</v>
      </c>
      <c r="CO99" s="10">
        <v>0</v>
      </c>
      <c r="CP99" s="10">
        <v>0</v>
      </c>
      <c r="CQ99" s="10">
        <v>0</v>
      </c>
      <c r="CR99" s="10">
        <v>0</v>
      </c>
      <c r="CS99" s="10">
        <v>0</v>
      </c>
      <c r="CT99" s="10">
        <v>0</v>
      </c>
      <c r="CU99" s="10">
        <v>0</v>
      </c>
      <c r="CV99" s="10">
        <v>0</v>
      </c>
      <c r="CW99" s="10">
        <v>0</v>
      </c>
      <c r="CX99" s="10" t="s">
        <v>183</v>
      </c>
      <c r="CY99" s="1" t="str">
        <f>VLOOKUP(bovespa_diario_last_date_1[[#This Row],[Stock]],Patterns!H:J,2,0)</f>
        <v>CDLLONGLEGGEDDOJI_Bull</v>
      </c>
      <c r="CZ99" s="5">
        <f>IF(RIGHT(bovespa_diario_last_date_1[[#This Row],[PATTERN]],4)="Bull",1,IF(RIGHT(bovespa_diario_last_date_1[[#This Row],[PATTERN]],4)="Bear",-1,0))</f>
        <v>1</v>
      </c>
    </row>
    <row r="100" spans="1:104" x14ac:dyDescent="0.25">
      <c r="A100" s="4">
        <v>44491</v>
      </c>
      <c r="B100" s="10">
        <v>4.309999942779541</v>
      </c>
      <c r="C100" s="10">
        <v>3.9000000953674316</v>
      </c>
      <c r="D100" s="10">
        <v>4.2899999618530273</v>
      </c>
      <c r="E100" s="10">
        <v>4.2699999809265137</v>
      </c>
      <c r="F100" s="10">
        <v>1471700</v>
      </c>
      <c r="G100" s="10">
        <v>4.2699999809265137</v>
      </c>
      <c r="H100" s="10">
        <v>4.25</v>
      </c>
      <c r="I100" s="10">
        <v>4.7058778650619359E-3</v>
      </c>
      <c r="J100" s="10">
        <v>4.6948398373489854E-3</v>
      </c>
      <c r="K100" s="10">
        <v>1.9999980926513672E-2</v>
      </c>
      <c r="L100" s="10">
        <v>0.36999988555908203</v>
      </c>
      <c r="M100" s="10">
        <v>1.9999980926513672E-2</v>
      </c>
      <c r="N100" s="10">
        <v>4.6728927710762164E-3</v>
      </c>
      <c r="O100" s="10">
        <v>18.500011920940324</v>
      </c>
      <c r="P100" s="10">
        <v>1</v>
      </c>
      <c r="Q100" s="10">
        <v>0.52042536759999325</v>
      </c>
      <c r="R100" s="10">
        <v>0.57817255984249072</v>
      </c>
      <c r="S100" s="10">
        <v>-0.12116014090322742</v>
      </c>
      <c r="T100" s="10">
        <v>-76.74507750784025</v>
      </c>
      <c r="U100" s="10">
        <v>-70.350462526383197</v>
      </c>
      <c r="V100" s="10">
        <v>-52.33893105979741</v>
      </c>
      <c r="W100" s="10">
        <v>-48.13838428752193</v>
      </c>
      <c r="X100" s="10">
        <v>-0.86999988555908203</v>
      </c>
      <c r="Y100" s="10">
        <v>-0.2922222349378798</v>
      </c>
      <c r="Z100" s="10">
        <v>1471700</v>
      </c>
      <c r="AA100" s="10">
        <v>-46049070</v>
      </c>
      <c r="AB100" s="10">
        <v>27.3776199071919</v>
      </c>
      <c r="AC100" s="10">
        <v>-53.373181049966803</v>
      </c>
      <c r="AD100" s="10">
        <v>35.315206539588878</v>
      </c>
      <c r="AE100" s="10">
        <v>85.147795949809705</v>
      </c>
      <c r="AF100" s="10">
        <v>-71.365205062147425</v>
      </c>
      <c r="AG100" s="10">
        <v>0.26142856052943636</v>
      </c>
      <c r="AH100" s="10">
        <v>62.055225956158864</v>
      </c>
      <c r="AI100" s="10">
        <v>-3.9322719943927376</v>
      </c>
      <c r="AJ100" s="10">
        <v>4.3933332761128741</v>
      </c>
      <c r="AK100" s="10">
        <v>4.737500011920929</v>
      </c>
      <c r="AL100" s="10">
        <v>4.9660000562667843</v>
      </c>
      <c r="AM100" s="10">
        <v>0.32095912731819015</v>
      </c>
      <c r="AN100" s="10">
        <v>7.4081500315666196</v>
      </c>
      <c r="AO100" s="10">
        <v>5.6079183109031643</v>
      </c>
      <c r="AP100" s="10">
        <v>4.3240818016304043</v>
      </c>
      <c r="AQ100" s="10">
        <v>-0.31332982106626295</v>
      </c>
      <c r="AR100" s="10">
        <v>-1.2665531837345789E-2</v>
      </c>
      <c r="AS100" s="10">
        <v>0.25852527078662391</v>
      </c>
      <c r="AT100" s="10">
        <v>75.888759712295439</v>
      </c>
      <c r="AU100" s="10">
        <v>58.27092538870501</v>
      </c>
      <c r="AV100" s="10">
        <v>12.927803692491807</v>
      </c>
      <c r="AW100" s="10">
        <v>26.915208611348589</v>
      </c>
      <c r="AX100" s="10">
        <v>-86.894068645687867</v>
      </c>
      <c r="AY100" s="10">
        <v>-69.050051997939065</v>
      </c>
      <c r="AZ100" s="10">
        <v>4.6682840743068841</v>
      </c>
      <c r="BA100" s="10">
        <v>-9.3274963737575919E-2</v>
      </c>
      <c r="BB100" s="10">
        <v>-54.937423971866622</v>
      </c>
      <c r="BC100" s="10">
        <v>4.7561523547889148</v>
      </c>
      <c r="BD100" s="10">
        <v>4.9615274764255668</v>
      </c>
      <c r="BE100" s="10">
        <v>-0.16195023386136034</v>
      </c>
      <c r="BF100" s="10">
        <v>5.0648353994107165</v>
      </c>
      <c r="BG100" s="10">
        <v>5.542240495680522</v>
      </c>
      <c r="BH100" s="10">
        <v>-0.29794859963394071</v>
      </c>
      <c r="BI100" s="10">
        <v>-49.183919517825558</v>
      </c>
      <c r="BJ100" s="10">
        <v>7.3773516025030039</v>
      </c>
      <c r="BK100" s="10">
        <v>-0.72771701064557159</v>
      </c>
      <c r="BL100" s="10">
        <v>-0.30868304462180163</v>
      </c>
      <c r="BM100" s="10">
        <v>-0.26098001828720591</v>
      </c>
      <c r="BN100" s="10">
        <v>-4.7703026334595722E-2</v>
      </c>
      <c r="BO100" s="10">
        <v>-81.098859266131072</v>
      </c>
      <c r="BP100" s="10">
        <v>-23.865065367950002</v>
      </c>
      <c r="BQ100" s="10">
        <v>970533.33333333337</v>
      </c>
      <c r="BR100" s="10">
        <v>865300</v>
      </c>
      <c r="BS100" s="10">
        <v>1180250.5</v>
      </c>
      <c r="BT100">
        <v>0.51638274488253866</v>
      </c>
      <c r="BU100">
        <v>0.70079741130243844</v>
      </c>
      <c r="BV100" s="10">
        <v>26.428561453917268</v>
      </c>
      <c r="BW100" s="10">
        <v>11.092612383785641</v>
      </c>
      <c r="BX100" s="10">
        <v>11.092612383785641</v>
      </c>
      <c r="BY100" s="10">
        <v>8.4211059275090179</v>
      </c>
      <c r="BZ100" s="10">
        <v>-88.168250401963306</v>
      </c>
      <c r="CA100" s="10">
        <v>66.977047081503372</v>
      </c>
      <c r="CB100" s="10">
        <v>0</v>
      </c>
      <c r="CC100" s="10">
        <v>0</v>
      </c>
      <c r="CD100" s="10">
        <v>0</v>
      </c>
      <c r="CE100" s="10">
        <v>0</v>
      </c>
      <c r="CF100" s="10">
        <v>0</v>
      </c>
      <c r="CG100" s="10">
        <v>0</v>
      </c>
      <c r="CH100" s="10">
        <v>0</v>
      </c>
      <c r="CI100" s="10">
        <v>0</v>
      </c>
      <c r="CJ100" s="10">
        <v>0</v>
      </c>
      <c r="CK100" s="10">
        <v>0</v>
      </c>
      <c r="CL100" s="10">
        <v>0</v>
      </c>
      <c r="CM100" s="10">
        <v>0</v>
      </c>
      <c r="CN100" s="10">
        <v>0</v>
      </c>
      <c r="CO100" s="10">
        <v>0</v>
      </c>
      <c r="CP100" s="10">
        <v>0</v>
      </c>
      <c r="CQ100" s="10">
        <v>0</v>
      </c>
      <c r="CR100" s="10">
        <v>0</v>
      </c>
      <c r="CS100" s="10">
        <v>0</v>
      </c>
      <c r="CT100" s="10">
        <v>0</v>
      </c>
      <c r="CU100" s="10">
        <v>0</v>
      </c>
      <c r="CV100" s="10">
        <v>0</v>
      </c>
      <c r="CW100" s="10">
        <v>0</v>
      </c>
      <c r="CX100" s="10" t="s">
        <v>184</v>
      </c>
      <c r="CY100" s="1" t="str">
        <f>VLOOKUP(bovespa_diario_last_date_1[[#This Row],[Stock]],Patterns!H:J,2,0)</f>
        <v>CDLCLOSINGMARUBOZU_Bull</v>
      </c>
      <c r="CZ100" s="5">
        <f>IF(RIGHT(bovespa_diario_last_date_1[[#This Row],[PATTERN]],4)="Bull",1,IF(RIGHT(bovespa_diario_last_date_1[[#This Row],[PATTERN]],4)="Bear",-1,0))</f>
        <v>1</v>
      </c>
    </row>
    <row r="101" spans="1:104" x14ac:dyDescent="0.25">
      <c r="A101" s="4">
        <v>44491</v>
      </c>
      <c r="B101" s="10">
        <v>6.8299999237060547</v>
      </c>
      <c r="C101" s="10">
        <v>6.2100000381469727</v>
      </c>
      <c r="D101" s="10">
        <v>6.5999999046325684</v>
      </c>
      <c r="E101" s="10">
        <v>6.679999828338623</v>
      </c>
      <c r="F101" s="10">
        <v>4828800</v>
      </c>
      <c r="G101" s="10">
        <v>6.679999828338623</v>
      </c>
      <c r="H101" s="10">
        <v>6.679999828338623</v>
      </c>
      <c r="I101" s="10">
        <v>0</v>
      </c>
      <c r="J101" s="10">
        <v>0</v>
      </c>
      <c r="K101" s="10">
        <v>7.9999923706054688E-2</v>
      </c>
      <c r="L101" s="10">
        <v>0.3899998664855957</v>
      </c>
      <c r="M101" s="10">
        <v>0.15000009536743164</v>
      </c>
      <c r="N101" s="10">
        <v>1.2048181523292239E-2</v>
      </c>
      <c r="O101" s="10">
        <v>4.8750029802350809</v>
      </c>
      <c r="P101" s="10">
        <v>1.8750029802350809</v>
      </c>
      <c r="Q101" s="10">
        <v>0.41016941939258073</v>
      </c>
      <c r="R101" s="10">
        <v>0.54543600003474024</v>
      </c>
      <c r="S101" s="10">
        <v>-7.0787703401503532E-2</v>
      </c>
      <c r="T101" s="10">
        <v>-84.6191959328374</v>
      </c>
      <c r="U101" s="10">
        <v>-77.330433174709697</v>
      </c>
      <c r="V101" s="10">
        <v>-45.299522827264056</v>
      </c>
      <c r="W101" s="10">
        <v>-57.57546667733402</v>
      </c>
      <c r="X101" s="10">
        <v>-0.76000022888183594</v>
      </c>
      <c r="Y101" s="10">
        <v>-6.6666709052191839E-2</v>
      </c>
      <c r="Z101" s="10">
        <v>4828800</v>
      </c>
      <c r="AA101" s="10">
        <v>-19630900</v>
      </c>
      <c r="AB101" s="10">
        <v>-79.295875393657312</v>
      </c>
      <c r="AC101" s="10">
        <v>-1.2480195209995428</v>
      </c>
      <c r="AD101" s="10">
        <v>17.938307154926395</v>
      </c>
      <c r="AE101" s="10">
        <v>74.775132972040396</v>
      </c>
      <c r="AF101" s="10">
        <v>-76.390776758590349</v>
      </c>
      <c r="AG101" s="10">
        <v>0.36214283534458708</v>
      </c>
      <c r="AH101" s="10">
        <v>66.725191008779646</v>
      </c>
      <c r="AI101" s="10">
        <v>-27.586114989544786</v>
      </c>
      <c r="AJ101" s="10">
        <v>6.8499999046325684</v>
      </c>
      <c r="AK101" s="10">
        <v>7.268750011920929</v>
      </c>
      <c r="AL101" s="10">
        <v>7.3840000391006466</v>
      </c>
      <c r="AM101" s="10">
        <v>0.36770124588029524</v>
      </c>
      <c r="AN101" s="10">
        <v>9.3427047562599181</v>
      </c>
      <c r="AO101" s="10">
        <v>8.1194025308612368</v>
      </c>
      <c r="AP101" s="10">
        <v>6.6485975473400565</v>
      </c>
      <c r="AQ101" s="10">
        <v>-0.21547945202277144</v>
      </c>
      <c r="AR101" s="10">
        <v>4.7009403900503694E-3</v>
      </c>
      <c r="AS101" s="10">
        <v>0.1991881061393278</v>
      </c>
      <c r="AT101" s="10">
        <v>12.83050584527523</v>
      </c>
      <c r="AU101" s="10">
        <v>8.9019803084895699</v>
      </c>
      <c r="AV101" s="10">
        <v>10.993767050488074</v>
      </c>
      <c r="AW101" s="10">
        <v>32.952396361016497</v>
      </c>
      <c r="AX101" s="10">
        <v>-88.137587476345118</v>
      </c>
      <c r="AY101" s="10">
        <v>-42.092692913792483</v>
      </c>
      <c r="AZ101" s="10">
        <v>7.1407477612885861</v>
      </c>
      <c r="BA101" s="10">
        <v>-6.8974243232062374E-2</v>
      </c>
      <c r="BB101" s="10">
        <v>-51.580416830088993</v>
      </c>
      <c r="BC101" s="10">
        <v>7.21151786390657</v>
      </c>
      <c r="BD101" s="10">
        <v>7.3446691250707108</v>
      </c>
      <c r="BE101" s="10">
        <v>-9.9501394283328451E-2</v>
      </c>
      <c r="BF101" s="10">
        <v>7.4028539777093449</v>
      </c>
      <c r="BG101" s="10">
        <v>7.7026919513222492</v>
      </c>
      <c r="BH101" s="10">
        <v>-0.1530976271354155</v>
      </c>
      <c r="BI101" s="10">
        <v>-49.69033926001056</v>
      </c>
      <c r="BJ101" s="10">
        <v>9.1582673637993466</v>
      </c>
      <c r="BK101" s="10">
        <v>-0.37099814358484667</v>
      </c>
      <c r="BL101" s="10">
        <v>-0.19133611380277493</v>
      </c>
      <c r="BM101" s="10">
        <v>-0.12595994199987234</v>
      </c>
      <c r="BN101" s="10">
        <v>-6.5376171802902588E-2</v>
      </c>
      <c r="BO101" s="10">
        <v>-84.30601143969885</v>
      </c>
      <c r="BP101" s="10">
        <v>42.253335114706182</v>
      </c>
      <c r="BQ101" s="10">
        <v>1682622.2222222222</v>
      </c>
      <c r="BR101" s="10">
        <v>1494960</v>
      </c>
      <c r="BS101" s="10">
        <v>1436952.5</v>
      </c>
      <c r="BT101">
        <v>1.8698063868564936</v>
      </c>
      <c r="BU101">
        <v>2.2300529780061007</v>
      </c>
      <c r="BV101" s="10">
        <v>30.718945896737623</v>
      </c>
      <c r="BW101" s="10">
        <v>21.856670584018286</v>
      </c>
      <c r="BX101" s="10">
        <v>21.856670584018286</v>
      </c>
      <c r="BY101" s="10">
        <v>31.749628783727463</v>
      </c>
      <c r="BZ101" s="10">
        <v>-86.468394215938432</v>
      </c>
      <c r="CA101" s="10">
        <v>86.024992520681536</v>
      </c>
      <c r="CB101" s="10">
        <v>0</v>
      </c>
      <c r="CC101" s="10">
        <v>0</v>
      </c>
      <c r="CD101" s="10">
        <v>0</v>
      </c>
      <c r="CE101" s="10">
        <v>0</v>
      </c>
      <c r="CF101" s="10">
        <v>0</v>
      </c>
      <c r="CG101" s="10">
        <v>0</v>
      </c>
      <c r="CH101" s="10">
        <v>0</v>
      </c>
      <c r="CI101" s="10">
        <v>0</v>
      </c>
      <c r="CJ101" s="10">
        <v>0</v>
      </c>
      <c r="CK101" s="10">
        <v>0</v>
      </c>
      <c r="CL101" s="10">
        <v>0</v>
      </c>
      <c r="CM101" s="10">
        <v>0</v>
      </c>
      <c r="CN101" s="10">
        <v>0</v>
      </c>
      <c r="CO101" s="10">
        <v>0</v>
      </c>
      <c r="CP101" s="10">
        <v>0</v>
      </c>
      <c r="CQ101" s="10">
        <v>0</v>
      </c>
      <c r="CR101" s="10">
        <v>0</v>
      </c>
      <c r="CS101" s="10">
        <v>0</v>
      </c>
      <c r="CT101" s="10">
        <v>0</v>
      </c>
      <c r="CU101" s="10">
        <v>0</v>
      </c>
      <c r="CV101" s="10">
        <v>0</v>
      </c>
      <c r="CW101" s="10">
        <v>0</v>
      </c>
      <c r="CX101" s="10" t="s">
        <v>185</v>
      </c>
      <c r="CY101" s="1" t="str">
        <f>VLOOKUP(bovespa_diario_last_date_1[[#This Row],[Stock]],Patterns!H:J,2,0)</f>
        <v>CDLLONGLINE_Bull</v>
      </c>
      <c r="CZ101" s="5">
        <f>IF(RIGHT(bovespa_diario_last_date_1[[#This Row],[PATTERN]],4)="Bull",1,IF(RIGHT(bovespa_diario_last_date_1[[#This Row],[PATTERN]],4)="Bear",-1,0))</f>
        <v>1</v>
      </c>
    </row>
    <row r="102" spans="1:104" x14ac:dyDescent="0.25">
      <c r="A102" s="4">
        <v>44491</v>
      </c>
      <c r="B102" s="10">
        <v>10.670000076293945</v>
      </c>
      <c r="C102" s="10">
        <v>9.6599998474121094</v>
      </c>
      <c r="D102" s="10">
        <v>10.670000076293945</v>
      </c>
      <c r="E102" s="10">
        <v>10.180000305175781</v>
      </c>
      <c r="F102" s="10">
        <v>2793400</v>
      </c>
      <c r="G102" s="10">
        <v>10.180000305175781</v>
      </c>
      <c r="H102" s="10">
        <v>10.779999732971191</v>
      </c>
      <c r="I102" s="10">
        <v>-5.5658575385700626E-2</v>
      </c>
      <c r="J102" s="10">
        <v>-5.7267499609738461E-2</v>
      </c>
      <c r="K102" s="10">
        <v>0.48999977111816406</v>
      </c>
      <c r="L102" s="10">
        <v>0.52000045776367188</v>
      </c>
      <c r="M102" s="10">
        <v>0</v>
      </c>
      <c r="N102" s="10">
        <v>4.7002375266491363E-2</v>
      </c>
      <c r="O102" s="10">
        <v>1.0612259197122627</v>
      </c>
      <c r="P102" s="10">
        <v>0</v>
      </c>
      <c r="Q102" s="10">
        <v>0.43829914283126481</v>
      </c>
      <c r="R102" s="10">
        <v>0.61618752451586167</v>
      </c>
      <c r="S102" s="10">
        <v>-0.1476745065352395</v>
      </c>
      <c r="T102" s="10">
        <v>-87.835283120030454</v>
      </c>
      <c r="U102" s="10">
        <v>-85.078362450282768</v>
      </c>
      <c r="V102" s="10">
        <v>-72.464992648960703</v>
      </c>
      <c r="W102" s="10">
        <v>-51.577510774892374</v>
      </c>
      <c r="X102" s="10">
        <v>-2.1700000762939453</v>
      </c>
      <c r="Y102" s="10">
        <v>4.444546169704861E-3</v>
      </c>
      <c r="Z102" s="10">
        <v>-2793400</v>
      </c>
      <c r="AA102" s="10">
        <v>11540900</v>
      </c>
      <c r="AB102" s="10">
        <v>-87.028293930425363</v>
      </c>
      <c r="AC102" s="10">
        <v>-49.522312982896473</v>
      </c>
      <c r="AD102" s="10">
        <v>16.199359291157652</v>
      </c>
      <c r="AE102" s="10">
        <v>56.702599335988971</v>
      </c>
      <c r="AF102" s="10">
        <v>-5.8695225092349625</v>
      </c>
      <c r="AG102" s="10">
        <v>0.68214300700596397</v>
      </c>
      <c r="AH102" s="10">
        <v>78.724883303235117</v>
      </c>
      <c r="AI102" s="10">
        <v>73.57022329840828</v>
      </c>
      <c r="AJ102" s="10">
        <v>10.880000114440918</v>
      </c>
      <c r="AK102" s="10">
        <v>11.860000133514404</v>
      </c>
      <c r="AL102" s="10">
        <v>11.92300009727478</v>
      </c>
      <c r="AM102" s="10">
        <v>0.63173196833003142</v>
      </c>
      <c r="AN102" s="10">
        <v>12.817441897392273</v>
      </c>
      <c r="AO102" s="10">
        <v>13.186464033934843</v>
      </c>
      <c r="AP102" s="10">
        <v>10.659536160614717</v>
      </c>
      <c r="AQ102" s="10">
        <v>-0.2953304163685041</v>
      </c>
      <c r="AR102" s="10">
        <v>-4.7105681833342114E-2</v>
      </c>
      <c r="AS102" s="10">
        <v>0.21193725175744163</v>
      </c>
      <c r="AT102" s="10">
        <v>84.392221554498846</v>
      </c>
      <c r="AU102" s="10">
        <v>58.900756528420622</v>
      </c>
      <c r="AV102" s="10">
        <v>5.8033042069931184</v>
      </c>
      <c r="AW102" s="10">
        <v>27.11676009378337</v>
      </c>
      <c r="AX102" s="10">
        <v>-88.716067788137323</v>
      </c>
      <c r="AY102" s="10">
        <v>-80.053609319155314</v>
      </c>
      <c r="AZ102" s="10">
        <v>11.53380650009627</v>
      </c>
      <c r="BA102" s="10">
        <v>-0.13298685209588632</v>
      </c>
      <c r="BB102" s="10">
        <v>-68.842871351842277</v>
      </c>
      <c r="BC102" s="10">
        <v>11.668988958774134</v>
      </c>
      <c r="BD102" s="10">
        <v>11.86994984199109</v>
      </c>
      <c r="BE102" s="10">
        <v>-0.16600682575187095</v>
      </c>
      <c r="BF102" s="10">
        <v>11.942895826425589</v>
      </c>
      <c r="BG102" s="10">
        <v>12.223301753444591</v>
      </c>
      <c r="BH102" s="10">
        <v>-0.20071722858691288</v>
      </c>
      <c r="BI102" s="10">
        <v>-40.324643207801707</v>
      </c>
      <c r="BJ102" s="10">
        <v>12.677435157629331</v>
      </c>
      <c r="BK102" s="10">
        <v>-0.24532758129523707</v>
      </c>
      <c r="BL102" s="10">
        <v>-0.27390686765145489</v>
      </c>
      <c r="BM102" s="10">
        <v>-0.10593293533212136</v>
      </c>
      <c r="BN102" s="10">
        <v>-0.16797393231933352</v>
      </c>
      <c r="BO102" s="10">
        <v>-88.32743522024154</v>
      </c>
      <c r="BP102" s="10">
        <v>-67.826089315584838</v>
      </c>
      <c r="BQ102" s="10">
        <v>1976477.7777777778</v>
      </c>
      <c r="BR102" s="10">
        <v>1800195</v>
      </c>
      <c r="BS102" s="10">
        <v>1583494</v>
      </c>
      <c r="BT102">
        <v>0.41332223989925954</v>
      </c>
      <c r="BU102">
        <v>0.55172078580376005</v>
      </c>
      <c r="BV102" s="10">
        <v>14.64789943169073</v>
      </c>
      <c r="BW102" s="10">
        <v>15.147939690495795</v>
      </c>
      <c r="BX102" s="10">
        <v>15.147939690495795</v>
      </c>
      <c r="BY102" s="10">
        <v>25.962839460143872</v>
      </c>
      <c r="BZ102" s="10">
        <v>-88.570468147785164</v>
      </c>
      <c r="CA102" s="10">
        <v>67.225330902026101</v>
      </c>
      <c r="CB102" s="10">
        <v>0</v>
      </c>
      <c r="CC102" s="10">
        <v>0</v>
      </c>
      <c r="CD102" s="10">
        <v>0</v>
      </c>
      <c r="CE102" s="10">
        <v>0</v>
      </c>
      <c r="CF102" s="10">
        <v>0</v>
      </c>
      <c r="CG102" s="10">
        <v>0</v>
      </c>
      <c r="CH102" s="10">
        <v>0</v>
      </c>
      <c r="CI102" s="10">
        <v>0</v>
      </c>
      <c r="CJ102" s="10">
        <v>0</v>
      </c>
      <c r="CK102" s="10">
        <v>0</v>
      </c>
      <c r="CL102" s="10">
        <v>0</v>
      </c>
      <c r="CM102" s="10">
        <v>0</v>
      </c>
      <c r="CN102" s="10">
        <v>0</v>
      </c>
      <c r="CO102" s="10">
        <v>0</v>
      </c>
      <c r="CP102" s="10">
        <v>0</v>
      </c>
      <c r="CQ102" s="10">
        <v>0</v>
      </c>
      <c r="CR102" s="10">
        <v>0</v>
      </c>
      <c r="CS102" s="10">
        <v>0</v>
      </c>
      <c r="CT102" s="10">
        <v>0</v>
      </c>
      <c r="CU102" s="10">
        <v>0</v>
      </c>
      <c r="CV102" s="10">
        <v>0</v>
      </c>
      <c r="CW102" s="10">
        <v>0</v>
      </c>
      <c r="CX102" s="10" t="s">
        <v>186</v>
      </c>
      <c r="CY102" s="1" t="str">
        <f>VLOOKUP(bovespa_diario_last_date_1[[#This Row],[Stock]],Patterns!H:J,2,0)</f>
        <v>CDLSPINNINGTOP_Bull</v>
      </c>
      <c r="CZ102" s="5">
        <f>IF(RIGHT(bovespa_diario_last_date_1[[#This Row],[PATTERN]],4)="Bull",1,IF(RIGHT(bovespa_diario_last_date_1[[#This Row],[PATTERN]],4)="Bear",-1,0))</f>
        <v>1</v>
      </c>
    </row>
    <row r="103" spans="1:104" x14ac:dyDescent="0.25">
      <c r="A103" s="4">
        <v>44491</v>
      </c>
      <c r="B103" s="10">
        <v>12.180000305175781</v>
      </c>
      <c r="C103" s="10">
        <v>11.270000457763672</v>
      </c>
      <c r="D103" s="10">
        <v>12.170000076293945</v>
      </c>
      <c r="E103" s="10">
        <v>11.859999656677246</v>
      </c>
      <c r="F103" s="10">
        <v>1451800</v>
      </c>
      <c r="G103" s="10">
        <v>11.859999656677246</v>
      </c>
      <c r="H103" s="10">
        <v>12.289999961853027</v>
      </c>
      <c r="I103" s="10">
        <v>-3.4987819895074046E-2</v>
      </c>
      <c r="J103" s="10">
        <v>-3.5614555852416671E-2</v>
      </c>
      <c r="K103" s="10">
        <v>0.31000041961669922</v>
      </c>
      <c r="L103" s="10">
        <v>0.58999919891357422</v>
      </c>
      <c r="M103" s="10">
        <v>1.0000228881835938E-2</v>
      </c>
      <c r="N103" s="10">
        <v>2.5801117191970039E-2</v>
      </c>
      <c r="O103" s="10">
        <v>1.9032206460980929</v>
      </c>
      <c r="P103" s="10">
        <v>3.2258759179102869E-2</v>
      </c>
      <c r="Q103" s="10">
        <v>0.46820534687202398</v>
      </c>
      <c r="R103" s="10">
        <v>0.5225214799628578</v>
      </c>
      <c r="S103" s="10">
        <v>-0.10172833240906899</v>
      </c>
      <c r="T103" s="10">
        <v>-85.491670914241041</v>
      </c>
      <c r="U103" s="10">
        <v>-78.044660627791401</v>
      </c>
      <c r="V103" s="10">
        <v>-57.42611399722329</v>
      </c>
      <c r="W103" s="10">
        <v>-57.321760400642461</v>
      </c>
      <c r="X103" s="10">
        <v>-1.8500003814697266</v>
      </c>
      <c r="Y103" s="10">
        <v>-0.27888329823811847</v>
      </c>
      <c r="Z103" s="10">
        <v>-1451800</v>
      </c>
      <c r="AA103" s="10">
        <v>-16783100</v>
      </c>
      <c r="AB103" s="10">
        <v>-86.278640246129584</v>
      </c>
      <c r="AC103" s="10">
        <v>-74.900893877363202</v>
      </c>
      <c r="AD103" s="10">
        <v>28.741101432995325</v>
      </c>
      <c r="AE103" s="10">
        <v>78.907836260063306</v>
      </c>
      <c r="AF103" s="10">
        <v>-83.195531733584673</v>
      </c>
      <c r="AG103" s="10">
        <v>0.68428564071655273</v>
      </c>
      <c r="AH103" s="10">
        <v>73.872868498737361</v>
      </c>
      <c r="AI103" s="10">
        <v>15.613939351086806</v>
      </c>
      <c r="AJ103" s="10">
        <v>12.443333307902018</v>
      </c>
      <c r="AK103" s="10">
        <v>13.297499895095825</v>
      </c>
      <c r="AL103" s="10">
        <v>13.567817068099975</v>
      </c>
      <c r="AM103" s="10">
        <v>0.65940147232373303</v>
      </c>
      <c r="AN103" s="10">
        <v>16.350666661262512</v>
      </c>
      <c r="AO103" s="10">
        <v>14.886620012747441</v>
      </c>
      <c r="AP103" s="10">
        <v>12.249014123452509</v>
      </c>
      <c r="AQ103" s="10">
        <v>-0.25519565292450835</v>
      </c>
      <c r="AR103" s="10">
        <v>-3.2800546208805834E-2</v>
      </c>
      <c r="AS103" s="10">
        <v>0.19440164000267579</v>
      </c>
      <c r="AT103" s="10">
        <v>80.095406016728248</v>
      </c>
      <c r="AU103" s="10">
        <v>49.910802896513928</v>
      </c>
      <c r="AV103" s="10">
        <v>7.5055467638414513</v>
      </c>
      <c r="AW103" s="10">
        <v>26.934602004989827</v>
      </c>
      <c r="AX103" s="10">
        <v>-88.560021421089417</v>
      </c>
      <c r="AY103" s="10">
        <v>-54.744776099569073</v>
      </c>
      <c r="AZ103" s="10">
        <v>13.055733065215893</v>
      </c>
      <c r="BA103" s="10">
        <v>-0.10082069503816912</v>
      </c>
      <c r="BB103" s="10">
        <v>-53.279867463476926</v>
      </c>
      <c r="BC103" s="10">
        <v>13.211767776036508</v>
      </c>
      <c r="BD103" s="10">
        <v>13.560621937742358</v>
      </c>
      <c r="BE103" s="10">
        <v>-0.14339142751219658</v>
      </c>
      <c r="BF103" s="10">
        <v>13.74968078884166</v>
      </c>
      <c r="BG103" s="10">
        <v>14.680167621942097</v>
      </c>
      <c r="BH103" s="10">
        <v>-0.2377881995702319</v>
      </c>
      <c r="BI103" s="10">
        <v>-65.335400329327712</v>
      </c>
      <c r="BJ103" s="10">
        <v>16.358535372880787</v>
      </c>
      <c r="BK103" s="10">
        <v>-0.37930319109839439</v>
      </c>
      <c r="BL103" s="10">
        <v>-0.53791301280515214</v>
      </c>
      <c r="BM103" s="10">
        <v>-0.4483840852642525</v>
      </c>
      <c r="BN103" s="10">
        <v>-8.9528927540899639E-2</v>
      </c>
      <c r="BO103" s="10">
        <v>-85.325875319884688</v>
      </c>
      <c r="BP103" s="10">
        <v>-19.565259705564877</v>
      </c>
      <c r="BQ103" s="10">
        <v>825677.77777777775</v>
      </c>
      <c r="BR103" s="10">
        <v>820865</v>
      </c>
      <c r="BS103" s="10">
        <v>859152.5</v>
      </c>
      <c r="BT103">
        <v>0.75831303575513731</v>
      </c>
      <c r="BU103">
        <v>0.76862212422261877</v>
      </c>
      <c r="BV103" s="10">
        <v>19.732416189882631</v>
      </c>
      <c r="BW103" s="10">
        <v>18.573660932555999</v>
      </c>
      <c r="BX103" s="10">
        <v>18.573660932555999</v>
      </c>
      <c r="BY103" s="10">
        <v>32.151583388496313</v>
      </c>
      <c r="BZ103" s="10">
        <v>-87.441251323022513</v>
      </c>
      <c r="CA103" s="10">
        <v>85.227707453548291</v>
      </c>
      <c r="CB103" s="10">
        <v>0</v>
      </c>
      <c r="CC103" s="10">
        <v>0</v>
      </c>
      <c r="CD103" s="10">
        <v>0</v>
      </c>
      <c r="CE103" s="10">
        <v>0</v>
      </c>
      <c r="CF103" s="10">
        <v>0</v>
      </c>
      <c r="CG103" s="10">
        <v>0</v>
      </c>
      <c r="CH103" s="10">
        <v>0</v>
      </c>
      <c r="CI103" s="10">
        <v>0</v>
      </c>
      <c r="CJ103" s="10">
        <v>0</v>
      </c>
      <c r="CK103" s="10">
        <v>0</v>
      </c>
      <c r="CL103" s="10">
        <v>0</v>
      </c>
      <c r="CM103" s="10">
        <v>0</v>
      </c>
      <c r="CN103" s="10">
        <v>0</v>
      </c>
      <c r="CO103" s="10">
        <v>0</v>
      </c>
      <c r="CP103" s="10">
        <v>0</v>
      </c>
      <c r="CQ103" s="10">
        <v>0</v>
      </c>
      <c r="CR103" s="10">
        <v>0</v>
      </c>
      <c r="CS103" s="10">
        <v>0</v>
      </c>
      <c r="CT103" s="10">
        <v>0</v>
      </c>
      <c r="CU103" s="10">
        <v>0</v>
      </c>
      <c r="CV103" s="10">
        <v>0</v>
      </c>
      <c r="CW103" s="10">
        <v>0</v>
      </c>
      <c r="CX103" s="10" t="s">
        <v>187</v>
      </c>
      <c r="CY103" s="1" t="str">
        <f>VLOOKUP(bovespa_diario_last_date_1[[#This Row],[Stock]],Patterns!H:J,2,0)</f>
        <v>NO_PATTERN</v>
      </c>
      <c r="CZ103" s="5">
        <f>IF(RIGHT(bovespa_diario_last_date_1[[#This Row],[PATTERN]],4)="Bull",1,IF(RIGHT(bovespa_diario_last_date_1[[#This Row],[PATTERN]],4)="Bear",-1,0))</f>
        <v>0</v>
      </c>
    </row>
    <row r="104" spans="1:104" x14ac:dyDescent="0.25">
      <c r="A104" s="4">
        <v>44491</v>
      </c>
      <c r="B104" s="10">
        <v>9.9099998474121094</v>
      </c>
      <c r="C104" s="10">
        <v>8.6599998474121094</v>
      </c>
      <c r="D104" s="10">
        <v>9.9099998474121094</v>
      </c>
      <c r="E104" s="10">
        <v>9.2600002288818359</v>
      </c>
      <c r="F104" s="10">
        <v>8836500</v>
      </c>
      <c r="G104" s="10">
        <v>9.2600002288818359</v>
      </c>
      <c r="H104" s="10">
        <v>9.9600000381469727</v>
      </c>
      <c r="I104" s="10">
        <v>-7.0281105078727424E-2</v>
      </c>
      <c r="J104" s="10">
        <v>-7.287300205117557E-2</v>
      </c>
      <c r="K104" s="10">
        <v>0.64999961853027344</v>
      </c>
      <c r="L104" s="10">
        <v>0.60000038146972656</v>
      </c>
      <c r="M104" s="10">
        <v>0</v>
      </c>
      <c r="N104" s="10">
        <v>6.7814253097899319E-2</v>
      </c>
      <c r="O104" s="10">
        <v>0.92307805168624391</v>
      </c>
      <c r="P104" s="10">
        <v>0</v>
      </c>
      <c r="Q104" s="10">
        <v>0.68957926321784235</v>
      </c>
      <c r="R104" s="10">
        <v>0.62303833201389125</v>
      </c>
      <c r="S104" s="10">
        <v>-3.9179164318477663E-2</v>
      </c>
      <c r="T104" s="10">
        <v>-82.108886903182992</v>
      </c>
      <c r="U104" s="10">
        <v>-70.962962789936981</v>
      </c>
      <c r="V104" s="10">
        <v>-6.3379292148191997</v>
      </c>
      <c r="W104" s="10">
        <v>-59.089038138597928</v>
      </c>
      <c r="X104" s="10">
        <v>-0.53999996185302734</v>
      </c>
      <c r="Y104" s="10">
        <v>1.9999927944607206E-2</v>
      </c>
      <c r="Z104" s="10">
        <v>-8836500</v>
      </c>
      <c r="AA104" s="10">
        <v>216235500</v>
      </c>
      <c r="AB104" s="10">
        <v>-71.435774241327223</v>
      </c>
      <c r="AC104" s="10">
        <v>-26.422584348645625</v>
      </c>
      <c r="AD104" s="10">
        <v>20.934629460973628</v>
      </c>
      <c r="AE104" s="10">
        <v>-70.491017824259174</v>
      </c>
      <c r="AF104" s="10">
        <v>-67.842591879750529</v>
      </c>
      <c r="AG104" s="10">
        <v>0.65214286531720844</v>
      </c>
      <c r="AH104" s="10">
        <v>71.549860931290524</v>
      </c>
      <c r="AI104" s="10">
        <v>-73.180999316864799</v>
      </c>
      <c r="AJ104" s="10">
        <v>9.8900000254313145</v>
      </c>
      <c r="AK104" s="10">
        <v>10.166249990463257</v>
      </c>
      <c r="AL104" s="10">
        <v>10.260500049591064</v>
      </c>
      <c r="AM104" s="10">
        <v>0.52668246492643311</v>
      </c>
      <c r="AN104" s="10">
        <v>9.7902991509437562</v>
      </c>
      <c r="AO104" s="10">
        <v>11.313864979443931</v>
      </c>
      <c r="AP104" s="10">
        <v>9.2071351197381972</v>
      </c>
      <c r="AQ104" s="10">
        <v>-0.22179964360649951</v>
      </c>
      <c r="AR104" s="10">
        <v>5.7089749283971997E-3</v>
      </c>
      <c r="AS104" s="10">
        <v>0.20532428726899116</v>
      </c>
      <c r="AT104" s="10">
        <v>-75.046876050792804</v>
      </c>
      <c r="AU104" s="10">
        <v>-78.03482076806938</v>
      </c>
      <c r="AV104" s="10">
        <v>19.530030774668589</v>
      </c>
      <c r="AW104" s="10">
        <v>33.438087272263402</v>
      </c>
      <c r="AX104" s="10">
        <v>-84.855578769621061</v>
      </c>
      <c r="AY104" s="10">
        <v>79.902898893013642</v>
      </c>
      <c r="AZ104" s="10">
        <v>10.023214517211203</v>
      </c>
      <c r="BA104" s="10">
        <v>-8.2420547458401827E-2</v>
      </c>
      <c r="BB104" s="10">
        <v>-29.374248040890404</v>
      </c>
      <c r="BC104" s="10">
        <v>10.124748090896498</v>
      </c>
      <c r="BD104" s="10">
        <v>10.467326415778198</v>
      </c>
      <c r="BE104" s="10">
        <v>-0.13038079449833326</v>
      </c>
      <c r="BF104" s="10">
        <v>10.650297293160397</v>
      </c>
      <c r="BG104" s="10">
        <v>11.239302573542602</v>
      </c>
      <c r="BH104" s="10">
        <v>-0.21374754813583532</v>
      </c>
      <c r="BI104" s="10">
        <v>-71.467145330079944</v>
      </c>
      <c r="BJ104" s="10">
        <v>10.201068457955978</v>
      </c>
      <c r="BK104" s="10">
        <v>-0.1016272360489756</v>
      </c>
      <c r="BL104" s="10">
        <v>-0.52554920226389967</v>
      </c>
      <c r="BM104" s="10">
        <v>-0.54989078268703206</v>
      </c>
      <c r="BN104" s="10">
        <v>2.4341580423132392E-2</v>
      </c>
      <c r="BO104" s="10">
        <v>-80.173208078764034</v>
      </c>
      <c r="BP104" s="10">
        <v>86.509626481276527</v>
      </c>
      <c r="BQ104" s="10">
        <v>4926633.333333333</v>
      </c>
      <c r="BR104" s="10">
        <v>4904025</v>
      </c>
      <c r="BS104" s="10">
        <v>6809206.5</v>
      </c>
      <c r="BT104">
        <v>0.79361836007009523</v>
      </c>
      <c r="BU104">
        <v>0.80188722528943068</v>
      </c>
      <c r="BV104" s="10">
        <v>22.556406612333518</v>
      </c>
      <c r="BW104" s="10">
        <v>32.425171552942608</v>
      </c>
      <c r="BX104" s="10">
        <v>32.425171552942608</v>
      </c>
      <c r="BY104" s="10">
        <v>34.965696798058197</v>
      </c>
      <c r="BZ104" s="10">
        <v>-49.403115637387494</v>
      </c>
      <c r="CA104" s="10">
        <v>85.216752119078507</v>
      </c>
      <c r="CB104" s="10">
        <v>0</v>
      </c>
      <c r="CC104" s="10">
        <v>0</v>
      </c>
      <c r="CD104" s="10">
        <v>0</v>
      </c>
      <c r="CE104" s="10">
        <v>0</v>
      </c>
      <c r="CF104" s="10">
        <v>0</v>
      </c>
      <c r="CG104" s="10">
        <v>0</v>
      </c>
      <c r="CH104" s="10">
        <v>0</v>
      </c>
      <c r="CI104" s="10">
        <v>0</v>
      </c>
      <c r="CJ104" s="10">
        <v>0</v>
      </c>
      <c r="CK104" s="10">
        <v>0</v>
      </c>
      <c r="CL104" s="10">
        <v>0</v>
      </c>
      <c r="CM104" s="10">
        <v>0</v>
      </c>
      <c r="CN104" s="10">
        <v>0</v>
      </c>
      <c r="CO104" s="10">
        <v>0</v>
      </c>
      <c r="CP104" s="10">
        <v>0</v>
      </c>
      <c r="CQ104" s="10">
        <v>0</v>
      </c>
      <c r="CR104" s="10">
        <v>0</v>
      </c>
      <c r="CS104" s="10">
        <v>0</v>
      </c>
      <c r="CT104" s="10">
        <v>0</v>
      </c>
      <c r="CU104" s="10">
        <v>0</v>
      </c>
      <c r="CV104" s="10">
        <v>0</v>
      </c>
      <c r="CW104" s="10">
        <v>0</v>
      </c>
      <c r="CX104" s="10" t="s">
        <v>188</v>
      </c>
      <c r="CY104" s="1" t="str">
        <f>VLOOKUP(bovespa_diario_last_date_1[[#This Row],[Stock]],Patterns!H:J,2,0)</f>
        <v>NO_PATTERN</v>
      </c>
      <c r="CZ104" s="5">
        <f>IF(RIGHT(bovespa_diario_last_date_1[[#This Row],[PATTERN]],4)="Bull",1,IF(RIGHT(bovespa_diario_last_date_1[[#This Row],[PATTERN]],4)="Bear",-1,0))</f>
        <v>0</v>
      </c>
    </row>
    <row r="105" spans="1:104" x14ac:dyDescent="0.25">
      <c r="A105" s="4">
        <v>44491</v>
      </c>
      <c r="B105" s="10">
        <v>17.729999542236328</v>
      </c>
      <c r="C105" s="10">
        <v>16.600000381469727</v>
      </c>
      <c r="D105" s="10">
        <v>17.709999084472656</v>
      </c>
      <c r="E105" s="10">
        <v>17.020000457763672</v>
      </c>
      <c r="F105" s="10">
        <v>1360600</v>
      </c>
      <c r="G105" s="10">
        <v>17.020000457763672</v>
      </c>
      <c r="H105" s="10">
        <v>17.799999237060547</v>
      </c>
      <c r="I105" s="10">
        <v>-4.3820158018483268E-2</v>
      </c>
      <c r="J105" s="10">
        <v>-4.4809264395410893E-2</v>
      </c>
      <c r="K105" s="10">
        <v>0.68999862670898438</v>
      </c>
      <c r="L105" s="10">
        <v>0.42000007629394531</v>
      </c>
      <c r="M105" s="10">
        <v>2.0000457763671875E-2</v>
      </c>
      <c r="N105" s="10">
        <v>3.9735020777633683E-2</v>
      </c>
      <c r="O105" s="10">
        <v>0.6086969742203352</v>
      </c>
      <c r="P105" s="10">
        <v>2.8986228362607048E-2</v>
      </c>
      <c r="Q105" s="10">
        <v>0.32482609521203759</v>
      </c>
      <c r="R105" s="10">
        <v>0.37292486611851761</v>
      </c>
      <c r="S105" s="10">
        <v>-1.7610089414822408E-3</v>
      </c>
      <c r="T105" s="10">
        <v>-86.074352497253827</v>
      </c>
      <c r="U105" s="10">
        <v>-74.510311399896835</v>
      </c>
      <c r="V105" s="10">
        <v>69.881797488934126</v>
      </c>
      <c r="W105" s="10">
        <v>66.411926022934026</v>
      </c>
      <c r="X105" s="10">
        <v>-0.27000045776367188</v>
      </c>
      <c r="Y105" s="10">
        <v>1.0855551825629339</v>
      </c>
      <c r="Z105" s="10">
        <v>-1360600</v>
      </c>
      <c r="AA105" s="10">
        <v>15891381</v>
      </c>
      <c r="AB105" s="10">
        <v>-84.387754228508385</v>
      </c>
      <c r="AC105" s="10">
        <v>-34.676991837442223</v>
      </c>
      <c r="AD105" s="10">
        <v>32.714756433200613</v>
      </c>
      <c r="AE105" s="10">
        <v>-82.720717314729228</v>
      </c>
      <c r="AF105" s="10">
        <v>81.586143964059389</v>
      </c>
      <c r="AG105" s="10">
        <v>0.67999976021902897</v>
      </c>
      <c r="AH105" s="10">
        <v>86.281639020978147</v>
      </c>
      <c r="AI105" s="10">
        <v>81.03722492629818</v>
      </c>
      <c r="AJ105" s="10">
        <v>17.746666590372723</v>
      </c>
      <c r="AK105" s="10">
        <v>18.217499732971191</v>
      </c>
      <c r="AL105" s="10">
        <v>17.617500019073486</v>
      </c>
      <c r="AM105" s="10">
        <v>0.65420785936187587</v>
      </c>
      <c r="AN105" s="10">
        <v>14.89395299911499</v>
      </c>
      <c r="AO105" s="10">
        <v>18.925915737797236</v>
      </c>
      <c r="AP105" s="10">
        <v>16.309084300349735</v>
      </c>
      <c r="AQ105" s="10">
        <v>-0.11198091825926958</v>
      </c>
      <c r="AR105" s="10">
        <v>4.1769455833924655E-2</v>
      </c>
      <c r="AS105" s="10">
        <v>0.14853591228122062</v>
      </c>
      <c r="AT105" s="10">
        <v>-53.426285634774956</v>
      </c>
      <c r="AU105" s="10">
        <v>70.621862542426882</v>
      </c>
      <c r="AV105" s="10">
        <v>18.767231484098531</v>
      </c>
      <c r="AW105" s="10">
        <v>41.533753317675043</v>
      </c>
      <c r="AX105" s="10">
        <v>-88.925831807676815</v>
      </c>
      <c r="AY105" s="10">
        <v>-65.743776588212867</v>
      </c>
      <c r="AZ105" s="10">
        <v>17.868578671439931</v>
      </c>
      <c r="BA105" s="10">
        <v>-4.9857708040729212E-2</v>
      </c>
      <c r="BB105" s="10">
        <v>73.739082131085965</v>
      </c>
      <c r="BC105" s="10">
        <v>17.823475734429763</v>
      </c>
      <c r="BD105" s="10">
        <v>17.580839563408301</v>
      </c>
      <c r="BE105" s="10">
        <v>-3.2951767953026227E-2</v>
      </c>
      <c r="BF105" s="10">
        <v>17.435351845734083</v>
      </c>
      <c r="BG105" s="10">
        <v>16.847856509056651</v>
      </c>
      <c r="BH105" s="10">
        <v>1.0114215280675696E-2</v>
      </c>
      <c r="BI105" s="10">
        <v>72.249308217572377</v>
      </c>
      <c r="BJ105" s="10">
        <v>14.91164750766529</v>
      </c>
      <c r="BK105" s="10">
        <v>0.1238750231135662</v>
      </c>
      <c r="BL105" s="10">
        <v>0.38812388869568082</v>
      </c>
      <c r="BM105" s="10">
        <v>0.47172083739289961</v>
      </c>
      <c r="BN105" s="10">
        <v>-8.3596948697218787E-2</v>
      </c>
      <c r="BO105" s="10">
        <v>-87.978565472473164</v>
      </c>
      <c r="BP105" s="10">
        <v>72.440563861280125</v>
      </c>
      <c r="BQ105" s="10">
        <v>739722.22222222225</v>
      </c>
      <c r="BR105" s="10">
        <v>576525</v>
      </c>
      <c r="BS105" s="10">
        <v>660595.51500000001</v>
      </c>
      <c r="BT105">
        <v>0.83933909125046924</v>
      </c>
      <c r="BU105">
        <v>1.3600017345301589</v>
      </c>
      <c r="BV105" s="10">
        <v>19.59182720191825</v>
      </c>
      <c r="BW105" s="10">
        <v>49.251683203516791</v>
      </c>
      <c r="BX105" s="10">
        <v>49.251683203516791</v>
      </c>
      <c r="BY105" s="10">
        <v>64.081615529371661</v>
      </c>
      <c r="BZ105" s="10">
        <v>-86.982325770144953</v>
      </c>
      <c r="CA105" s="10">
        <v>72.560575108973069</v>
      </c>
      <c r="CB105" s="10">
        <v>1</v>
      </c>
      <c r="CC105" s="10">
        <v>0</v>
      </c>
      <c r="CD105" s="10">
        <v>1</v>
      </c>
      <c r="CE105" s="10">
        <v>0</v>
      </c>
      <c r="CF105" s="10">
        <v>0</v>
      </c>
      <c r="CG105" s="10">
        <v>0</v>
      </c>
      <c r="CH105" s="10">
        <v>-1</v>
      </c>
      <c r="CI105" s="10">
        <v>0</v>
      </c>
      <c r="CJ105" s="10">
        <v>-1</v>
      </c>
      <c r="CK105" s="10">
        <v>-1</v>
      </c>
      <c r="CL105" s="10">
        <v>0</v>
      </c>
      <c r="CM105" s="10">
        <v>-1</v>
      </c>
      <c r="CN105" s="10">
        <v>0</v>
      </c>
      <c r="CO105" s="10">
        <v>0</v>
      </c>
      <c r="CP105" s="10">
        <v>0</v>
      </c>
      <c r="CQ105" s="10">
        <v>0</v>
      </c>
      <c r="CR105" s="10">
        <v>0</v>
      </c>
      <c r="CS105" s="10">
        <v>0</v>
      </c>
      <c r="CT105" s="10">
        <v>0</v>
      </c>
      <c r="CU105" s="10">
        <v>0</v>
      </c>
      <c r="CV105" s="10">
        <v>0</v>
      </c>
      <c r="CW105" s="10">
        <v>0</v>
      </c>
      <c r="CX105" s="10" t="s">
        <v>189</v>
      </c>
      <c r="CY105" s="1" t="str">
        <f>VLOOKUP(bovespa_diario_last_date_1[[#This Row],[Stock]],Patterns!H:J,2,0)</f>
        <v>NO_PATTERN</v>
      </c>
      <c r="CZ105" s="5">
        <f>IF(RIGHT(bovespa_diario_last_date_1[[#This Row],[PATTERN]],4)="Bull",1,IF(RIGHT(bovespa_diario_last_date_1[[#This Row],[PATTERN]],4)="Bear",-1,0))</f>
        <v>0</v>
      </c>
    </row>
    <row r="106" spans="1:104" x14ac:dyDescent="0.25">
      <c r="A106" s="4">
        <v>44491</v>
      </c>
      <c r="B106" s="10">
        <v>17.010000228881836</v>
      </c>
      <c r="C106" s="10">
        <v>15.409999847412109</v>
      </c>
      <c r="D106" s="10">
        <v>16.979999542236328</v>
      </c>
      <c r="E106" s="10">
        <v>16.350000381469727</v>
      </c>
      <c r="F106" s="10">
        <v>2253700</v>
      </c>
      <c r="G106" s="10">
        <v>16.350000381469727</v>
      </c>
      <c r="H106" s="10">
        <v>17.110000610351563</v>
      </c>
      <c r="I106" s="10">
        <v>-4.4418480524310189E-2</v>
      </c>
      <c r="J106" s="10">
        <v>-4.5435202901570514E-2</v>
      </c>
      <c r="K106" s="10">
        <v>0.62999916076660156</v>
      </c>
      <c r="L106" s="10">
        <v>0.94000053405761719</v>
      </c>
      <c r="M106" s="10">
        <v>3.0000686645507813E-2</v>
      </c>
      <c r="N106" s="10">
        <v>3.7803730105532521E-2</v>
      </c>
      <c r="O106" s="10">
        <v>1.4920663273801775</v>
      </c>
      <c r="P106" s="10">
        <v>4.7620200968207786E-2</v>
      </c>
      <c r="Q106" s="10">
        <v>0.43984096424902647</v>
      </c>
      <c r="R106" s="10">
        <v>0.54009162144998124</v>
      </c>
      <c r="S106" s="10">
        <v>-0.13429564398469726</v>
      </c>
      <c r="T106" s="10">
        <v>-86.512494533979918</v>
      </c>
      <c r="U106" s="10">
        <v>-83.097005643283438</v>
      </c>
      <c r="V106" s="10">
        <v>-78.756770806533453</v>
      </c>
      <c r="W106" s="10">
        <v>-80.696446402929325</v>
      </c>
      <c r="X106" s="10">
        <v>-3.2299995422363281</v>
      </c>
      <c r="Y106" s="10">
        <v>-1.9844443003336589</v>
      </c>
      <c r="Z106" s="10">
        <v>-2253700</v>
      </c>
      <c r="AA106" s="10">
        <v>-5423105</v>
      </c>
      <c r="AB106" s="10">
        <v>-88.191561855891933</v>
      </c>
      <c r="AC106" s="10">
        <v>-86.902286152385784</v>
      </c>
      <c r="AD106" s="10">
        <v>31.408510148167583</v>
      </c>
      <c r="AE106" s="10">
        <v>86.825662576201054</v>
      </c>
      <c r="AF106" s="10">
        <v>83.111488059890959</v>
      </c>
      <c r="AG106" s="10">
        <v>1.0964285986764091</v>
      </c>
      <c r="AH106" s="10">
        <v>65.01499364608911</v>
      </c>
      <c r="AI106" s="10">
        <v>24.067009436646732</v>
      </c>
      <c r="AJ106" s="10">
        <v>17.220000584920246</v>
      </c>
      <c r="AK106" s="10">
        <v>18.408750295639038</v>
      </c>
      <c r="AL106" s="10">
        <v>19.720500087738039</v>
      </c>
      <c r="AM106" s="10">
        <v>1.659538431385168</v>
      </c>
      <c r="AN106" s="10">
        <v>22.983125782012941</v>
      </c>
      <c r="AO106" s="10">
        <v>23.039576950508376</v>
      </c>
      <c r="AP106" s="10">
        <v>16.401423224967701</v>
      </c>
      <c r="AQ106" s="10">
        <v>-0.40914840446244155</v>
      </c>
      <c r="AR106" s="10">
        <v>-3.1451279693090585E-3</v>
      </c>
      <c r="AS106" s="10">
        <v>0.33661183519723198</v>
      </c>
      <c r="AT106" s="10">
        <v>83.798040943102265</v>
      </c>
      <c r="AU106" s="10">
        <v>80.520060394285196</v>
      </c>
      <c r="AV106" s="10">
        <v>3.0716863679257216</v>
      </c>
      <c r="AW106" s="10">
        <v>21.732922461926847</v>
      </c>
      <c r="AX106" s="10">
        <v>-87.900383018001094</v>
      </c>
      <c r="AY106" s="10">
        <v>-77.060890504660421</v>
      </c>
      <c r="AZ106" s="10">
        <v>18.227926026675526</v>
      </c>
      <c r="BA106" s="10">
        <v>-0.11485783494746253</v>
      </c>
      <c r="BB106" s="10">
        <v>-79.927332168258573</v>
      </c>
      <c r="BC106" s="10">
        <v>18.603161288465333</v>
      </c>
      <c r="BD106" s="10">
        <v>19.497748648798648</v>
      </c>
      <c r="BE106" s="10">
        <v>-0.19252282531420747</v>
      </c>
      <c r="BF106" s="10">
        <v>19.91597590514364</v>
      </c>
      <c r="BG106" s="10">
        <v>21.380149193091427</v>
      </c>
      <c r="BH106" s="10">
        <v>-0.30765435438904448</v>
      </c>
      <c r="BI106" s="10">
        <v>-82.66766520712487</v>
      </c>
      <c r="BJ106" s="10">
        <v>22.88041269988808</v>
      </c>
      <c r="BK106" s="10">
        <v>-0.39941358813786915</v>
      </c>
      <c r="BL106" s="10">
        <v>-1.3128146166783061</v>
      </c>
      <c r="BM106" s="10">
        <v>-1.1065636653022279</v>
      </c>
      <c r="BN106" s="10">
        <v>-0.20625095137607818</v>
      </c>
      <c r="BO106" s="10">
        <v>-84.98734471551505</v>
      </c>
      <c r="BP106" s="10">
        <v>-51.72338817088373</v>
      </c>
      <c r="BQ106" s="10">
        <v>1317322.2222222222</v>
      </c>
      <c r="BR106" s="10">
        <v>1384035</v>
      </c>
      <c r="BS106" s="10">
        <v>867044.05500000005</v>
      </c>
      <c r="BT106">
        <v>0.7108190858559873</v>
      </c>
      <c r="BU106">
        <v>0.62835477426510167</v>
      </c>
      <c r="BV106" s="10">
        <v>13.258117261316443</v>
      </c>
      <c r="BW106" s="10">
        <v>8.8398731884779824</v>
      </c>
      <c r="BX106" s="10">
        <v>8.8398731884779824</v>
      </c>
      <c r="BY106" s="10">
        <v>7.8821523783402263</v>
      </c>
      <c r="BZ106" s="10">
        <v>-85.868782765571467</v>
      </c>
      <c r="CA106" s="10">
        <v>-84.183171093201778</v>
      </c>
      <c r="CB106" s="10">
        <v>0</v>
      </c>
      <c r="CC106" s="10">
        <v>0</v>
      </c>
      <c r="CD106" s="10">
        <v>0</v>
      </c>
      <c r="CE106" s="10">
        <v>0</v>
      </c>
      <c r="CF106" s="10">
        <v>0</v>
      </c>
      <c r="CG106" s="10">
        <v>0</v>
      </c>
      <c r="CH106" s="10">
        <v>0</v>
      </c>
      <c r="CI106" s="10">
        <v>0</v>
      </c>
      <c r="CJ106" s="10">
        <v>0</v>
      </c>
      <c r="CK106" s="10">
        <v>0</v>
      </c>
      <c r="CL106" s="10">
        <v>0</v>
      </c>
      <c r="CM106" s="10">
        <v>0</v>
      </c>
      <c r="CN106" s="10">
        <v>0</v>
      </c>
      <c r="CO106" s="10">
        <v>0</v>
      </c>
      <c r="CP106" s="10">
        <v>0</v>
      </c>
      <c r="CQ106" s="10">
        <v>0</v>
      </c>
      <c r="CR106" s="10">
        <v>0</v>
      </c>
      <c r="CS106" s="10">
        <v>0</v>
      </c>
      <c r="CT106" s="10">
        <v>0</v>
      </c>
      <c r="CU106" s="10">
        <v>0</v>
      </c>
      <c r="CV106" s="10">
        <v>0</v>
      </c>
      <c r="CW106" s="10">
        <v>0</v>
      </c>
      <c r="CX106" s="10" t="s">
        <v>190</v>
      </c>
      <c r="CY106" s="1" t="str">
        <f>VLOOKUP(bovespa_diario_last_date_1[[#This Row],[Stock]],Patterns!H:J,2,0)</f>
        <v>NO_PATTERN</v>
      </c>
      <c r="CZ106" s="5">
        <f>IF(RIGHT(bovespa_diario_last_date_1[[#This Row],[PATTERN]],4)="Bull",1,IF(RIGHT(bovespa_diario_last_date_1[[#This Row],[PATTERN]],4)="Bear",-1,0))</f>
        <v>0</v>
      </c>
    </row>
    <row r="107" spans="1:104" x14ac:dyDescent="0.25">
      <c r="A107" s="4">
        <v>44491</v>
      </c>
      <c r="B107" s="10">
        <v>6.3499999046325684</v>
      </c>
      <c r="C107" s="10">
        <v>6.070000171661377</v>
      </c>
      <c r="D107" s="10">
        <v>6.3499999046325684</v>
      </c>
      <c r="E107" s="10">
        <v>6.179999828338623</v>
      </c>
      <c r="F107" s="10">
        <v>30556500</v>
      </c>
      <c r="G107" s="10">
        <v>6.179999828338623</v>
      </c>
      <c r="H107" s="10">
        <v>6.369999885559082</v>
      </c>
      <c r="I107" s="10">
        <v>-2.982732506027086E-2</v>
      </c>
      <c r="J107" s="10">
        <v>-3.0281207925787409E-2</v>
      </c>
      <c r="K107" s="10">
        <v>0.17000007629394531</v>
      </c>
      <c r="L107" s="10">
        <v>0.10999965667724609</v>
      </c>
      <c r="M107" s="10">
        <v>0</v>
      </c>
      <c r="N107" s="10">
        <v>2.7134889052967896E-2</v>
      </c>
      <c r="O107" s="10">
        <v>0.64705651359265781</v>
      </c>
      <c r="P107" s="10">
        <v>0</v>
      </c>
      <c r="Q107" s="10">
        <v>0.31058061124391595</v>
      </c>
      <c r="R107" s="10">
        <v>0.29683492533066669</v>
      </c>
      <c r="S107" s="10">
        <v>-5.2021247686300016E-2</v>
      </c>
      <c r="T107" s="10">
        <v>-87.044179949488637</v>
      </c>
      <c r="U107" s="10">
        <v>-72.440227865968836</v>
      </c>
      <c r="V107" s="10">
        <v>-57.284466832579092</v>
      </c>
      <c r="W107" s="10">
        <v>-59.823107865685031</v>
      </c>
      <c r="X107" s="10">
        <v>-0.47000026702880859</v>
      </c>
      <c r="Y107" s="10">
        <v>-0.11529133054945204</v>
      </c>
      <c r="Z107" s="10">
        <v>-30556500</v>
      </c>
      <c r="AA107" s="10">
        <v>61612900</v>
      </c>
      <c r="AB107" s="10">
        <v>-86.165929057417458</v>
      </c>
      <c r="AC107" s="10">
        <v>-6.9260134615669742</v>
      </c>
      <c r="AD107" s="10">
        <v>17.559312147475953</v>
      </c>
      <c r="AE107" s="10">
        <v>-73.72494035854227</v>
      </c>
      <c r="AF107" s="10">
        <v>-84.734691917609894</v>
      </c>
      <c r="AG107" s="10">
        <v>0.22285713468279159</v>
      </c>
      <c r="AH107" s="10">
        <v>-82.760291612788734</v>
      </c>
      <c r="AI107" s="10">
        <v>-84.501117241931723</v>
      </c>
      <c r="AJ107" s="10">
        <v>6.4033331871032715</v>
      </c>
      <c r="AK107" s="10">
        <v>6.5349999666213989</v>
      </c>
      <c r="AL107" s="10">
        <v>6.5936131477355957</v>
      </c>
      <c r="AM107" s="10">
        <v>0.14423679425241379</v>
      </c>
      <c r="AN107" s="10">
        <v>5.8430920553207395</v>
      </c>
      <c r="AO107" s="10">
        <v>6.8820867362404234</v>
      </c>
      <c r="AP107" s="10">
        <v>6.305139559230768</v>
      </c>
      <c r="AQ107" s="10">
        <v>-0.11360629893262364</v>
      </c>
      <c r="AR107" s="10">
        <v>-2.0249147956009957E-2</v>
      </c>
      <c r="AS107" s="10">
        <v>8.750091400308993E-2</v>
      </c>
      <c r="AT107" s="10">
        <v>72.027188754184351</v>
      </c>
      <c r="AU107" s="10">
        <v>-62.968955754096214</v>
      </c>
      <c r="AV107" s="10">
        <v>12.32425801717001</v>
      </c>
      <c r="AW107" s="10">
        <v>34.244769094082272</v>
      </c>
      <c r="AX107" s="10">
        <v>-88.84282804204598</v>
      </c>
      <c r="AY107" s="10">
        <v>-76.475230004210701</v>
      </c>
      <c r="AZ107" s="10">
        <v>6.4951776467839402</v>
      </c>
      <c r="BA107" s="10">
        <v>-5.0999648414237375E-2</v>
      </c>
      <c r="BB107" s="10">
        <v>-28.48992030922933</v>
      </c>
      <c r="BC107" s="10">
        <v>6.5168769058667326</v>
      </c>
      <c r="BD107" s="10">
        <v>6.5258450123569167</v>
      </c>
      <c r="BE107" s="10">
        <v>-5.5962005440907535E-2</v>
      </c>
      <c r="BF107" s="10">
        <v>6.5118207443472373</v>
      </c>
      <c r="BG107" s="10">
        <v>6.3928332908744938</v>
      </c>
      <c r="BH107" s="10">
        <v>-3.4439072564357506E-2</v>
      </c>
      <c r="BI107" s="10">
        <v>64.967513534267155</v>
      </c>
      <c r="BJ107" s="10">
        <v>5.9281514632436902</v>
      </c>
      <c r="BK107" s="10">
        <v>4.0752163768690189E-2</v>
      </c>
      <c r="BL107" s="10">
        <v>5.0561615194952836E-3</v>
      </c>
      <c r="BM107" s="10">
        <v>5.508880649480697E-2</v>
      </c>
      <c r="BN107" s="10">
        <v>-5.0032644975311687E-2</v>
      </c>
      <c r="BO107" s="10">
        <v>-85.535689199032433</v>
      </c>
      <c r="BP107" s="10">
        <v>-62.618218347387831</v>
      </c>
      <c r="BQ107" s="10">
        <v>17842777.777777776</v>
      </c>
      <c r="BR107" s="10">
        <v>16795285</v>
      </c>
      <c r="BS107" s="10">
        <v>12562276.5</v>
      </c>
      <c r="BT107">
        <v>0.71254164461188796</v>
      </c>
      <c r="BU107">
        <v>0.81934989492586752</v>
      </c>
      <c r="BV107" s="10">
        <v>14.285670052210573</v>
      </c>
      <c r="BW107" s="10">
        <v>19.063582009023673</v>
      </c>
      <c r="BX107" s="10">
        <v>19.063582009023673</v>
      </c>
      <c r="BY107" s="10">
        <v>23.117826274286486</v>
      </c>
      <c r="BZ107" s="10">
        <v>65.299116177234964</v>
      </c>
      <c r="CA107" s="10">
        <v>57.673372490513593</v>
      </c>
      <c r="CB107" s="10">
        <v>0</v>
      </c>
      <c r="CC107" s="10">
        <v>0</v>
      </c>
      <c r="CD107" s="10">
        <v>0</v>
      </c>
      <c r="CE107" s="10">
        <v>1</v>
      </c>
      <c r="CF107" s="10">
        <v>0</v>
      </c>
      <c r="CG107" s="10">
        <v>1</v>
      </c>
      <c r="CH107" s="10">
        <v>0</v>
      </c>
      <c r="CI107" s="10">
        <v>0</v>
      </c>
      <c r="CJ107" s="10">
        <v>0</v>
      </c>
      <c r="CK107" s="10">
        <v>0</v>
      </c>
      <c r="CL107" s="10">
        <v>0</v>
      </c>
      <c r="CM107" s="10">
        <v>0</v>
      </c>
      <c r="CN107" s="10">
        <v>0</v>
      </c>
      <c r="CO107" s="10">
        <v>0</v>
      </c>
      <c r="CP107" s="10">
        <v>0</v>
      </c>
      <c r="CQ107" s="10">
        <v>0</v>
      </c>
      <c r="CR107" s="10">
        <v>0</v>
      </c>
      <c r="CS107" s="10">
        <v>0</v>
      </c>
      <c r="CT107" s="10">
        <v>0</v>
      </c>
      <c r="CU107" s="10">
        <v>0</v>
      </c>
      <c r="CV107" s="10">
        <v>0</v>
      </c>
      <c r="CW107" s="10">
        <v>0</v>
      </c>
      <c r="CX107" s="10" t="s">
        <v>207</v>
      </c>
      <c r="CY107" s="1" t="str">
        <f>VLOOKUP(bovespa_diario_last_date_1[[#This Row],[Stock]],Patterns!H:J,2,0)</f>
        <v>CDLBELTHOLD_Bull</v>
      </c>
      <c r="CZ107" s="5">
        <f>IF(RIGHT(bovespa_diario_last_date_1[[#This Row],[PATTERN]],4)="Bull",1,IF(RIGHT(bovespa_diario_last_date_1[[#This Row],[PATTERN]],4)="Bear",-1,0))</f>
        <v>1</v>
      </c>
    </row>
    <row r="108" spans="1:104" x14ac:dyDescent="0.25">
      <c r="A108" s="4">
        <v>44491</v>
      </c>
      <c r="B108" s="10">
        <v>42.310001373291016</v>
      </c>
      <c r="C108" s="10">
        <v>39.909999847412109</v>
      </c>
      <c r="D108" s="10">
        <v>41.959999084472656</v>
      </c>
      <c r="E108" s="10">
        <v>41.549999237060547</v>
      </c>
      <c r="F108" s="10">
        <v>3725500</v>
      </c>
      <c r="G108" s="10">
        <v>41.549999237060547</v>
      </c>
      <c r="H108" s="10">
        <v>43.020000457763672</v>
      </c>
      <c r="I108" s="10">
        <v>-3.4170181428667123E-2</v>
      </c>
      <c r="J108" s="10">
        <v>-3.4767631540804943E-2</v>
      </c>
      <c r="K108" s="10">
        <v>0.40999984741210938</v>
      </c>
      <c r="L108" s="10">
        <v>1.6399993896484375</v>
      </c>
      <c r="M108" s="10">
        <v>0.35000228881835938</v>
      </c>
      <c r="N108" s="10">
        <v>9.8191798743310511E-3</v>
      </c>
      <c r="O108" s="10">
        <v>4</v>
      </c>
      <c r="P108" s="10">
        <v>0.8536644367736953</v>
      </c>
      <c r="Q108" s="10">
        <v>0.28938622267699937</v>
      </c>
      <c r="R108" s="10">
        <v>0.30446725509538652</v>
      </c>
      <c r="S108" s="10">
        <v>-4.1486083995443158E-2</v>
      </c>
      <c r="T108" s="10">
        <v>-87.041476385246938</v>
      </c>
      <c r="U108" s="10">
        <v>-83.894384033486361</v>
      </c>
      <c r="V108" s="10">
        <v>-32.764286330900127</v>
      </c>
      <c r="W108" s="10">
        <v>43.340503567163488</v>
      </c>
      <c r="X108" s="10">
        <v>-2.970001220703125</v>
      </c>
      <c r="Y108" s="10">
        <v>0.98222223917643225</v>
      </c>
      <c r="Z108" s="10">
        <v>-3725500</v>
      </c>
      <c r="AA108" s="10">
        <v>29731900</v>
      </c>
      <c r="AB108" s="10">
        <v>-86.346061816616739</v>
      </c>
      <c r="AC108" s="10">
        <v>72.060878503959557</v>
      </c>
      <c r="AD108" s="10">
        <v>18.488487110526609</v>
      </c>
      <c r="AE108" s="10">
        <v>82.465788489620692</v>
      </c>
      <c r="AF108" s="10">
        <v>-37.962378823760233</v>
      </c>
      <c r="AG108" s="10">
        <v>1.5471423012869698</v>
      </c>
      <c r="AH108" s="10">
        <v>78.957122956487325</v>
      </c>
      <c r="AI108" s="10">
        <v>74.012652716554243</v>
      </c>
      <c r="AJ108" s="10">
        <v>42.939999898274742</v>
      </c>
      <c r="AK108" s="10">
        <v>44.628750324249268</v>
      </c>
      <c r="AL108" s="10">
        <v>44.102500152587893</v>
      </c>
      <c r="AM108" s="10">
        <v>1.2766770357727253</v>
      </c>
      <c r="AN108" s="10">
        <v>44.529968128204345</v>
      </c>
      <c r="AO108" s="10">
        <v>46.655854224133343</v>
      </c>
      <c r="AP108" s="10">
        <v>41.549146081042444</v>
      </c>
      <c r="AQ108" s="10">
        <v>-0.12288459881651756</v>
      </c>
      <c r="AR108" s="10">
        <v>2.0533237876492644E-5</v>
      </c>
      <c r="AS108" s="10">
        <v>0.11579180602964619</v>
      </c>
      <c r="AT108" s="10">
        <v>54.67298707146017</v>
      </c>
      <c r="AU108" s="10">
        <v>75.51385812979477</v>
      </c>
      <c r="AV108" s="10">
        <v>7.0328595321615097</v>
      </c>
      <c r="AW108" s="10">
        <v>31.094821009833225</v>
      </c>
      <c r="AX108" s="10">
        <v>-88.886227751830745</v>
      </c>
      <c r="AY108" s="10">
        <v>-79.653462511880448</v>
      </c>
      <c r="AZ108" s="10">
        <v>43.891648373417851</v>
      </c>
      <c r="BA108" s="10">
        <v>-5.6357380971229214E-2</v>
      </c>
      <c r="BB108" s="10">
        <v>-6.6487297301273935</v>
      </c>
      <c r="BC108" s="10">
        <v>44.021636691627222</v>
      </c>
      <c r="BD108" s="10">
        <v>44.063115890437849</v>
      </c>
      <c r="BE108" s="10">
        <v>-6.0484156426547579E-2</v>
      </c>
      <c r="BF108" s="10">
        <v>44.03536768600695</v>
      </c>
      <c r="BG108" s="10">
        <v>43.968549287001409</v>
      </c>
      <c r="BH108" s="10">
        <v>-5.8208185182916553E-2</v>
      </c>
      <c r="BI108" s="10">
        <v>53.022179828926078</v>
      </c>
      <c r="BJ108" s="10">
        <v>44.307070900093009</v>
      </c>
      <c r="BK108" s="10">
        <v>-6.6355516574192641E-2</v>
      </c>
      <c r="BL108" s="10">
        <v>-1.373099437972769E-2</v>
      </c>
      <c r="BM108" s="10">
        <v>0.26527190315633326</v>
      </c>
      <c r="BN108" s="10">
        <v>-0.27900289753606095</v>
      </c>
      <c r="BO108" s="10">
        <v>-87.291134490865048</v>
      </c>
      <c r="BP108" s="10">
        <v>-53.230752104036441</v>
      </c>
      <c r="BQ108" s="10">
        <v>1813544.4444444445</v>
      </c>
      <c r="BR108" s="10">
        <v>1709220</v>
      </c>
      <c r="BS108" s="10">
        <v>1503866.5</v>
      </c>
      <c r="BT108">
        <v>1.0542645157732862</v>
      </c>
      <c r="BU108">
        <v>1.1796491967096103</v>
      </c>
      <c r="BV108" s="10">
        <v>24.153154175547961</v>
      </c>
      <c r="BW108" s="10">
        <v>33.76916090292864</v>
      </c>
      <c r="BX108" s="10">
        <v>33.76916090292864</v>
      </c>
      <c r="BY108" s="10">
        <v>45.836661260507732</v>
      </c>
      <c r="BZ108" s="10">
        <v>-88.589394172870328</v>
      </c>
      <c r="CA108" s="10">
        <v>43.309834183082174</v>
      </c>
      <c r="CB108" s="10">
        <v>0</v>
      </c>
      <c r="CC108" s="10">
        <v>0</v>
      </c>
      <c r="CD108" s="10">
        <v>0</v>
      </c>
      <c r="CE108" s="10">
        <v>1</v>
      </c>
      <c r="CF108" s="10">
        <v>0</v>
      </c>
      <c r="CG108" s="10">
        <v>1</v>
      </c>
      <c r="CH108" s="10">
        <v>0</v>
      </c>
      <c r="CI108" s="10">
        <v>0</v>
      </c>
      <c r="CJ108" s="10">
        <v>0</v>
      </c>
      <c r="CK108" s="10">
        <v>0</v>
      </c>
      <c r="CL108" s="10">
        <v>0</v>
      </c>
      <c r="CM108" s="10">
        <v>0</v>
      </c>
      <c r="CN108" s="10">
        <v>0</v>
      </c>
      <c r="CO108" s="10">
        <v>0</v>
      </c>
      <c r="CP108" s="10">
        <v>0</v>
      </c>
      <c r="CQ108" s="10">
        <v>0</v>
      </c>
      <c r="CR108" s="10">
        <v>0</v>
      </c>
      <c r="CS108" s="10">
        <v>0</v>
      </c>
      <c r="CT108" s="10">
        <v>0</v>
      </c>
      <c r="CU108" s="10">
        <v>0</v>
      </c>
      <c r="CV108" s="10">
        <v>0</v>
      </c>
      <c r="CW108" s="10">
        <v>0</v>
      </c>
      <c r="CX108" s="10" t="s">
        <v>208</v>
      </c>
      <c r="CY108" s="1" t="str">
        <f>VLOOKUP(bovespa_diario_last_date_1[[#This Row],[Stock]],Patterns!H:J,2,0)</f>
        <v>CDLSHOOTINGSTAR_Bear</v>
      </c>
      <c r="CZ108" s="5">
        <f>IF(RIGHT(bovespa_diario_last_date_1[[#This Row],[PATTERN]],4)="Bull",1,IF(RIGHT(bovespa_diario_last_date_1[[#This Row],[PATTERN]],4)="Bear",-1,0))</f>
        <v>-1</v>
      </c>
    </row>
    <row r="109" spans="1:104" x14ac:dyDescent="0.25">
      <c r="A109" s="4">
        <v>44491</v>
      </c>
      <c r="B109" s="10">
        <v>41</v>
      </c>
      <c r="C109" s="10">
        <v>37.080001831054688</v>
      </c>
      <c r="D109" s="10">
        <v>38.909999847412109</v>
      </c>
      <c r="E109" s="10">
        <v>39.880001068115234</v>
      </c>
      <c r="F109" s="10">
        <v>13790500</v>
      </c>
      <c r="G109" s="10">
        <v>39.880001068115234</v>
      </c>
      <c r="H109" s="10">
        <v>39.389999389648438</v>
      </c>
      <c r="I109" s="10">
        <v>1.2439748313262777E-2</v>
      </c>
      <c r="J109" s="10">
        <v>1.2363010389142658E-2</v>
      </c>
      <c r="K109" s="10">
        <v>0.970001220703125</v>
      </c>
      <c r="L109" s="10">
        <v>1.8299980163574219</v>
      </c>
      <c r="M109" s="10">
        <v>1.1199989318847656</v>
      </c>
      <c r="N109" s="10">
        <v>2.4622444712066614E-2</v>
      </c>
      <c r="O109" s="10">
        <v>1.8865935189554821</v>
      </c>
      <c r="P109" s="10">
        <v>1.154636621047664</v>
      </c>
      <c r="Q109" s="10">
        <v>0.33635593842487616</v>
      </c>
      <c r="R109" s="10">
        <v>0.36544268483371056</v>
      </c>
      <c r="S109" s="10">
        <v>-0.10081155607701422</v>
      </c>
      <c r="T109" s="10">
        <v>-83.114322897932041</v>
      </c>
      <c r="U109" s="10">
        <v>-83.313003694765754</v>
      </c>
      <c r="V109" s="10">
        <v>-77.644645359309649</v>
      </c>
      <c r="W109" s="10">
        <v>-74.95846363301051</v>
      </c>
      <c r="X109" s="10">
        <v>-5.029998779296875</v>
      </c>
      <c r="Y109" s="10">
        <v>-2.6311107211642795</v>
      </c>
      <c r="Z109" s="10">
        <v>13790500</v>
      </c>
      <c r="AA109" s="10">
        <v>-87280024</v>
      </c>
      <c r="AB109" s="10">
        <v>-86.770051878860428</v>
      </c>
      <c r="AC109" s="10">
        <v>-83.653910481747218</v>
      </c>
      <c r="AD109" s="10">
        <v>47.406447385779622</v>
      </c>
      <c r="AE109" s="10">
        <v>85.256063363950233</v>
      </c>
      <c r="AF109" s="10">
        <v>-42.10571389411971</v>
      </c>
      <c r="AG109" s="10">
        <v>1.8221421922956194</v>
      </c>
      <c r="AH109" s="10">
        <v>84.362227302277745</v>
      </c>
      <c r="AI109" s="10">
        <v>57.044864281623497</v>
      </c>
      <c r="AJ109" s="10">
        <v>39.640000661214195</v>
      </c>
      <c r="AK109" s="10">
        <v>42.021250247955322</v>
      </c>
      <c r="AL109" s="10">
        <v>43.836999893188477</v>
      </c>
      <c r="AM109" s="10">
        <v>2.2841376175324104</v>
      </c>
      <c r="AN109" s="10">
        <v>51.207349987030028</v>
      </c>
      <c r="AO109" s="10">
        <v>48.405275128253294</v>
      </c>
      <c r="AP109" s="10">
        <v>39.268724658123659</v>
      </c>
      <c r="AQ109" s="10">
        <v>-0.21377316529096502</v>
      </c>
      <c r="AR109" s="10">
        <v>1.5327893521053623E-2</v>
      </c>
      <c r="AS109" s="10">
        <v>0.20842097982050314</v>
      </c>
      <c r="AT109" s="10">
        <v>83.076141636318056</v>
      </c>
      <c r="AU109" s="10">
        <v>36.096690664724427</v>
      </c>
      <c r="AV109" s="10">
        <v>26.655721448315617</v>
      </c>
      <c r="AW109" s="10">
        <v>26.228784472185382</v>
      </c>
      <c r="AX109" s="10">
        <v>-84.791427055405293</v>
      </c>
      <c r="AY109" s="10">
        <v>-62.113166322863172</v>
      </c>
      <c r="AZ109" s="10">
        <v>41.64646301828968</v>
      </c>
      <c r="BA109" s="10">
        <v>-4.4294430864164722E-2</v>
      </c>
      <c r="BB109" s="10">
        <v>-79.835539345273247</v>
      </c>
      <c r="BC109" s="10">
        <v>42.279161929688449</v>
      </c>
      <c r="BD109" s="10">
        <v>43.832584804721066</v>
      </c>
      <c r="BE109" s="10">
        <v>-9.9111926548216461E-2</v>
      </c>
      <c r="BF109" s="10">
        <v>44.577311713244541</v>
      </c>
      <c r="BG109" s="10">
        <v>47.292704933866119</v>
      </c>
      <c r="BH109" s="10">
        <v>-0.18587521733236542</v>
      </c>
      <c r="BI109" s="10">
        <v>-77.575646858244312</v>
      </c>
      <c r="BJ109" s="10">
        <v>50.115244868800403</v>
      </c>
      <c r="BK109" s="10">
        <v>-0.25665104128767002</v>
      </c>
      <c r="BL109" s="10">
        <v>-2.2981497835560916</v>
      </c>
      <c r="BM109" s="10">
        <v>-1.9901756017655365</v>
      </c>
      <c r="BN109" s="10">
        <v>-0.30797418179055502</v>
      </c>
      <c r="BO109" s="10">
        <v>-85.690769012379107</v>
      </c>
      <c r="BP109" s="10">
        <v>-46.086679457964124</v>
      </c>
      <c r="BQ109" s="10">
        <v>8939188.8888888881</v>
      </c>
      <c r="BR109" s="10">
        <v>8027595</v>
      </c>
      <c r="BS109" s="10">
        <v>6726101.5</v>
      </c>
      <c r="BT109">
        <v>0.5427014879550347</v>
      </c>
      <c r="BU109">
        <v>0.71788686399849522</v>
      </c>
      <c r="BV109" s="10">
        <v>30.7354579794827</v>
      </c>
      <c r="BW109" s="10">
        <v>16.374055973856745</v>
      </c>
      <c r="BX109" s="10">
        <v>16.374055973856745</v>
      </c>
      <c r="BY109" s="10">
        <v>9.5608919966401071</v>
      </c>
      <c r="BZ109" s="10">
        <v>-88.168132476367916</v>
      </c>
      <c r="CA109" s="10">
        <v>60.300451605009222</v>
      </c>
      <c r="CB109" s="10">
        <v>0</v>
      </c>
      <c r="CC109" s="10">
        <v>0</v>
      </c>
      <c r="CD109" s="10">
        <v>0</v>
      </c>
      <c r="CE109" s="10">
        <v>0</v>
      </c>
      <c r="CF109" s="10">
        <v>0</v>
      </c>
      <c r="CG109" s="10">
        <v>0</v>
      </c>
      <c r="CH109" s="10">
        <v>0</v>
      </c>
      <c r="CI109" s="10">
        <v>0</v>
      </c>
      <c r="CJ109" s="10">
        <v>0</v>
      </c>
      <c r="CK109" s="10">
        <v>0</v>
      </c>
      <c r="CL109" s="10">
        <v>0</v>
      </c>
      <c r="CM109" s="10">
        <v>0</v>
      </c>
      <c r="CN109" s="10">
        <v>0</v>
      </c>
      <c r="CO109" s="10">
        <v>0</v>
      </c>
      <c r="CP109" s="10">
        <v>0</v>
      </c>
      <c r="CQ109" s="10">
        <v>0</v>
      </c>
      <c r="CR109" s="10">
        <v>0</v>
      </c>
      <c r="CS109" s="10">
        <v>0</v>
      </c>
      <c r="CT109" s="10">
        <v>0</v>
      </c>
      <c r="CU109" s="10">
        <v>0</v>
      </c>
      <c r="CV109" s="10">
        <v>0</v>
      </c>
      <c r="CW109" s="10">
        <v>0</v>
      </c>
      <c r="CX109" s="10" t="s">
        <v>209</v>
      </c>
      <c r="CY109" s="1" t="str">
        <f>VLOOKUP(bovespa_diario_last_date_1[[#This Row],[Stock]],Patterns!H:J,2,0)</f>
        <v>CDLSPINNINGTOP_Bear</v>
      </c>
      <c r="CZ109" s="5">
        <f>IF(RIGHT(bovespa_diario_last_date_1[[#This Row],[PATTERN]],4)="Bull",1,IF(RIGHT(bovespa_diario_last_date_1[[#This Row],[PATTERN]],4)="Bear",-1,0))</f>
        <v>-1</v>
      </c>
    </row>
    <row r="110" spans="1:104" x14ac:dyDescent="0.25">
      <c r="A110" s="4">
        <v>44491</v>
      </c>
      <c r="B110" s="10">
        <v>24</v>
      </c>
      <c r="C110" s="10">
        <v>23.219999313354492</v>
      </c>
      <c r="D110" s="10">
        <v>23.799999237060547</v>
      </c>
      <c r="E110" s="10">
        <v>23.809999465942383</v>
      </c>
      <c r="F110" s="10">
        <v>2185900</v>
      </c>
      <c r="G110" s="10">
        <v>23.809999465942383</v>
      </c>
      <c r="H110" s="10">
        <v>24.040000915527344</v>
      </c>
      <c r="I110" s="10">
        <v>-9.5674476217013638E-3</v>
      </c>
      <c r="J110" s="10">
        <v>-9.6135096817064111E-3</v>
      </c>
      <c r="K110" s="10">
        <v>1.0000228881835938E-2</v>
      </c>
      <c r="L110" s="10">
        <v>0.57999992370605469</v>
      </c>
      <c r="M110" s="10">
        <v>0.19000053405761719</v>
      </c>
      <c r="N110" s="10">
        <v>4.2008944147293949E-4</v>
      </c>
      <c r="O110" s="10">
        <v>57.998664886515357</v>
      </c>
      <c r="P110" s="10">
        <v>18.999618539004388</v>
      </c>
      <c r="Q110" s="10">
        <v>0.21555496512752895</v>
      </c>
      <c r="R110" s="10">
        <v>0.29333435446954192</v>
      </c>
      <c r="S110" s="10">
        <v>5.4748151655041495E-3</v>
      </c>
      <c r="T110" s="10">
        <v>-87.040304625215271</v>
      </c>
      <c r="U110" s="10">
        <v>-77.303508206806526</v>
      </c>
      <c r="V110" s="10">
        <v>73.175065749306071</v>
      </c>
      <c r="W110" s="10">
        <v>9.8367082447402137</v>
      </c>
      <c r="X110" s="10">
        <v>-0.59000015258789063</v>
      </c>
      <c r="Y110" s="10">
        <v>0.66999986436631942</v>
      </c>
      <c r="Z110" s="10">
        <v>-2185900</v>
      </c>
      <c r="AA110" s="10">
        <v>12691000</v>
      </c>
      <c r="AB110" s="10">
        <v>-86.435084397088104</v>
      </c>
      <c r="AC110" s="10">
        <v>28.933559939933183</v>
      </c>
      <c r="AD110" s="10">
        <v>18.433205680785697</v>
      </c>
      <c r="AE110" s="10">
        <v>-79.873219766549823</v>
      </c>
      <c r="AF110" s="10">
        <v>-79.667745059744021</v>
      </c>
      <c r="AG110" s="10">
        <v>0.67000021253313335</v>
      </c>
      <c r="AH110" s="10">
        <v>72.356354104906046</v>
      </c>
      <c r="AI110" s="10">
        <v>52.173958264318493</v>
      </c>
      <c r="AJ110" s="10">
        <v>24.269999821980793</v>
      </c>
      <c r="AK110" s="10">
        <v>24.742499589920044</v>
      </c>
      <c r="AL110" s="10">
        <v>24.442499732971193</v>
      </c>
      <c r="AM110" s="10">
        <v>0.60628168622106071</v>
      </c>
      <c r="AN110" s="10">
        <v>25.361643934249877</v>
      </c>
      <c r="AO110" s="10">
        <v>25.655063105413316</v>
      </c>
      <c r="AP110" s="10">
        <v>23.22993636052907</v>
      </c>
      <c r="AQ110" s="10">
        <v>-7.749112477344218E-2</v>
      </c>
      <c r="AR110" s="10">
        <v>2.4362163730538088E-2</v>
      </c>
      <c r="AS110" s="10">
        <v>9.9217623867370736E-2</v>
      </c>
      <c r="AT110" s="10">
        <v>-71.416585243212324</v>
      </c>
      <c r="AU110" s="10">
        <v>9.2714150188052269</v>
      </c>
      <c r="AV110" s="10">
        <v>21.141524721077019</v>
      </c>
      <c r="AW110" s="10">
        <v>39.051123496241679</v>
      </c>
      <c r="AX110" s="10">
        <v>-88.566464217824105</v>
      </c>
      <c r="AY110" s="10">
        <v>83.700382703522294</v>
      </c>
      <c r="AZ110" s="10">
        <v>24.466915964214557</v>
      </c>
      <c r="BA110" s="10">
        <v>-2.7589941747450358E-2</v>
      </c>
      <c r="BB110" s="10">
        <v>71.948038950401937</v>
      </c>
      <c r="BC110" s="10">
        <v>24.497994518522752</v>
      </c>
      <c r="BD110" s="10">
        <v>24.575629479593797</v>
      </c>
      <c r="BE110" s="10">
        <v>-3.215581817826433E-2</v>
      </c>
      <c r="BF110" s="10">
        <v>24.621164767999595</v>
      </c>
      <c r="BG110" s="10">
        <v>24.847775851426075</v>
      </c>
      <c r="BH110" s="10">
        <v>-4.3585737453212398E-2</v>
      </c>
      <c r="BI110" s="10">
        <v>-51.936188087410365</v>
      </c>
      <c r="BJ110" s="10">
        <v>25.134551510566059</v>
      </c>
      <c r="BK110" s="10">
        <v>-5.5630074520509915E-2</v>
      </c>
      <c r="BL110" s="10">
        <v>-0.12317024947684274</v>
      </c>
      <c r="BM110" s="10">
        <v>-0.1128817770243971</v>
      </c>
      <c r="BN110" s="10">
        <v>-1.0288472452445643E-2</v>
      </c>
      <c r="BO110" s="10">
        <v>-86.681451840997198</v>
      </c>
      <c r="BP110" s="10">
        <v>84.513765069336714</v>
      </c>
      <c r="BQ110" s="10">
        <v>910488.88888888888</v>
      </c>
      <c r="BR110" s="10">
        <v>940705</v>
      </c>
      <c r="BS110" s="10">
        <v>759832.5</v>
      </c>
      <c r="BT110">
        <v>1.4007981060236259</v>
      </c>
      <c r="BU110">
        <v>1.3236827698375153</v>
      </c>
      <c r="BV110" s="10">
        <v>23.137250502081255</v>
      </c>
      <c r="BW110" s="10">
        <v>40.101085386934493</v>
      </c>
      <c r="BX110" s="10">
        <v>40.101085386934493</v>
      </c>
      <c r="BY110" s="10">
        <v>53.403002944521937</v>
      </c>
      <c r="BZ110" s="10">
        <v>-86.408750624374989</v>
      </c>
      <c r="CA110" s="10">
        <v>87.079794522972179</v>
      </c>
      <c r="CB110" s="10">
        <v>1</v>
      </c>
      <c r="CC110" s="10">
        <v>0</v>
      </c>
      <c r="CD110" s="10">
        <v>1</v>
      </c>
      <c r="CE110" s="10">
        <v>0</v>
      </c>
      <c r="CF110" s="10">
        <v>0</v>
      </c>
      <c r="CG110" s="10">
        <v>0</v>
      </c>
      <c r="CH110" s="10">
        <v>-1</v>
      </c>
      <c r="CI110" s="10">
        <v>0</v>
      </c>
      <c r="CJ110" s="10">
        <v>-1</v>
      </c>
      <c r="CK110" s="10">
        <v>-1</v>
      </c>
      <c r="CL110" s="10">
        <v>0</v>
      </c>
      <c r="CM110" s="10">
        <v>-1</v>
      </c>
      <c r="CN110" s="10">
        <v>0</v>
      </c>
      <c r="CO110" s="10">
        <v>0</v>
      </c>
      <c r="CP110" s="10">
        <v>0</v>
      </c>
      <c r="CQ110" s="10">
        <v>0</v>
      </c>
      <c r="CR110" s="10">
        <v>0</v>
      </c>
      <c r="CS110" s="10">
        <v>0</v>
      </c>
      <c r="CT110" s="10">
        <v>0</v>
      </c>
      <c r="CU110" s="10">
        <v>0</v>
      </c>
      <c r="CV110" s="10">
        <v>0</v>
      </c>
      <c r="CW110" s="10">
        <v>0</v>
      </c>
      <c r="CX110" s="10" t="s">
        <v>210</v>
      </c>
      <c r="CY110" s="1" t="str">
        <f>VLOOKUP(bovespa_diario_last_date_1[[#This Row],[Stock]],Patterns!H:J,2,0)</f>
        <v>NO_PATTERN</v>
      </c>
      <c r="CZ110" s="5">
        <f>IF(RIGHT(bovespa_diario_last_date_1[[#This Row],[PATTERN]],4)="Bull",1,IF(RIGHT(bovespa_diario_last_date_1[[#This Row],[PATTERN]],4)="Bear",-1,0))</f>
        <v>0</v>
      </c>
    </row>
    <row r="111" spans="1:104" x14ac:dyDescent="0.25">
      <c r="A111" s="4">
        <v>44491</v>
      </c>
      <c r="B111" s="10">
        <v>45.200000762939453</v>
      </c>
      <c r="C111" s="10">
        <v>43.979999542236328</v>
      </c>
      <c r="D111" s="10">
        <v>44.790000915527344</v>
      </c>
      <c r="E111" s="10">
        <v>44.560001373291016</v>
      </c>
      <c r="F111" s="10">
        <v>5174200</v>
      </c>
      <c r="G111" s="10">
        <v>44.560001373291016</v>
      </c>
      <c r="H111" s="10">
        <v>45.279998779296875</v>
      </c>
      <c r="I111" s="10">
        <v>-1.5901003211489906E-2</v>
      </c>
      <c r="J111" s="10">
        <v>-1.6028780497989066E-2</v>
      </c>
      <c r="K111" s="10">
        <v>0.22999954223632813</v>
      </c>
      <c r="L111" s="10">
        <v>0.5800018310546875</v>
      </c>
      <c r="M111" s="10">
        <v>0.40999984741210938</v>
      </c>
      <c r="N111" s="10">
        <v>5.1482828504663897E-3</v>
      </c>
      <c r="O111" s="10">
        <v>2.5217521105269269</v>
      </c>
      <c r="P111" s="10">
        <v>1.7826115801170948</v>
      </c>
      <c r="Q111" s="10">
        <v>0.21946452912846784</v>
      </c>
      <c r="R111" s="10">
        <v>0.2293106133751793</v>
      </c>
      <c r="S111" s="10">
        <v>3.099611352724688E-2</v>
      </c>
      <c r="T111" s="10">
        <v>-86.914325062402455</v>
      </c>
      <c r="U111" s="10">
        <v>-73.89432407733814</v>
      </c>
      <c r="V111" s="10">
        <v>84.239801069979976</v>
      </c>
      <c r="W111" s="10">
        <v>84.161631150160716</v>
      </c>
      <c r="X111" s="10">
        <v>-0.43999862670898438</v>
      </c>
      <c r="Y111" s="10">
        <v>2.8391142951117621</v>
      </c>
      <c r="Z111" s="10">
        <v>-5174200</v>
      </c>
      <c r="AA111" s="10">
        <v>19739500</v>
      </c>
      <c r="AB111" s="10">
        <v>-87.299650153033781</v>
      </c>
      <c r="AC111" s="10">
        <v>83.889630783748643</v>
      </c>
      <c r="AD111" s="10">
        <v>27.230819273424064</v>
      </c>
      <c r="AE111" s="10">
        <v>80.717994318167854</v>
      </c>
      <c r="AF111" s="10">
        <v>86.348084747574731</v>
      </c>
      <c r="AG111" s="10">
        <v>1.0292862483433314</v>
      </c>
      <c r="AH111" s="10">
        <v>24.631905172593704</v>
      </c>
      <c r="AI111" s="10">
        <v>2.5500376568365066</v>
      </c>
      <c r="AJ111" s="10">
        <v>45.280000050862633</v>
      </c>
      <c r="AK111" s="10">
        <v>45.771249771118164</v>
      </c>
      <c r="AL111" s="10">
        <v>44.145948791503905</v>
      </c>
      <c r="AM111" s="10">
        <v>1.6204436219236269</v>
      </c>
      <c r="AN111" s="10">
        <v>42.886957530975344</v>
      </c>
      <c r="AO111" s="10">
        <v>47.386836035351159</v>
      </c>
      <c r="AP111" s="10">
        <v>40.905061547656651</v>
      </c>
      <c r="AQ111" s="10">
        <v>-6.3438836960057421E-2</v>
      </c>
      <c r="AR111" s="10">
        <v>8.2022884043830235E-2</v>
      </c>
      <c r="AS111" s="10">
        <v>0.14682603194932253</v>
      </c>
      <c r="AT111" s="10">
        <v>7.7646288904049685</v>
      </c>
      <c r="AU111" s="10">
        <v>86.854409221255466</v>
      </c>
      <c r="AV111" s="10">
        <v>15.720034266329478</v>
      </c>
      <c r="AW111" s="10">
        <v>50.272030770161535</v>
      </c>
      <c r="AX111" s="10">
        <v>-88.711082159107278</v>
      </c>
      <c r="AY111" s="10">
        <v>73.291588403367513</v>
      </c>
      <c r="AZ111" s="10">
        <v>45.225465170332164</v>
      </c>
      <c r="BA111" s="10">
        <v>-1.4934106295607598E-2</v>
      </c>
      <c r="BB111" s="10">
        <v>85.602514178149491</v>
      </c>
      <c r="BC111" s="10">
        <v>45.02140572887334</v>
      </c>
      <c r="BD111" s="10">
        <v>44.414148578361598</v>
      </c>
      <c r="BE111" s="10">
        <v>3.2731775232134799E-3</v>
      </c>
      <c r="BF111" s="10">
        <v>44.151097462090831</v>
      </c>
      <c r="BG111" s="10">
        <v>43.418678645933717</v>
      </c>
      <c r="BH111" s="10">
        <v>2.5613166341628531E-2</v>
      </c>
      <c r="BI111" s="10">
        <v>84.871795271607212</v>
      </c>
      <c r="BJ111" s="10">
        <v>42.897602312894136</v>
      </c>
      <c r="BK111" s="10">
        <v>3.7306979559325389E-2</v>
      </c>
      <c r="BL111" s="10">
        <v>0.87030826678250861</v>
      </c>
      <c r="BM111" s="10">
        <v>0.8317345601039533</v>
      </c>
      <c r="BN111" s="10">
        <v>3.8573706678555308E-2</v>
      </c>
      <c r="BO111" s="10">
        <v>-88.50877502216278</v>
      </c>
      <c r="BP111" s="10">
        <v>79.74857315254782</v>
      </c>
      <c r="BQ111" s="10">
        <v>3000777.777777778</v>
      </c>
      <c r="BR111" s="10">
        <v>2763375</v>
      </c>
      <c r="BS111" s="10">
        <v>2636051</v>
      </c>
      <c r="BT111">
        <v>0.72428629614544371</v>
      </c>
      <c r="BU111">
        <v>0.87242050029402463</v>
      </c>
      <c r="BV111" s="10">
        <v>49.568997055943647</v>
      </c>
      <c r="BW111" s="10">
        <v>66.116472890954284</v>
      </c>
      <c r="BX111" s="10">
        <v>66.116472890954284</v>
      </c>
      <c r="BY111" s="10">
        <v>75.494091777539339</v>
      </c>
      <c r="BZ111" s="10">
        <v>-79.794607123612124</v>
      </c>
      <c r="CA111" s="10">
        <v>72.981622049671756</v>
      </c>
      <c r="CB111" s="10">
        <v>1</v>
      </c>
      <c r="CC111" s="10">
        <v>0</v>
      </c>
      <c r="CD111" s="10">
        <v>1</v>
      </c>
      <c r="CE111" s="10">
        <v>0</v>
      </c>
      <c r="CF111" s="10">
        <v>0</v>
      </c>
      <c r="CG111" s="10">
        <v>0</v>
      </c>
      <c r="CH111" s="10">
        <v>0</v>
      </c>
      <c r="CI111" s="10">
        <v>0</v>
      </c>
      <c r="CJ111" s="10">
        <v>0</v>
      </c>
      <c r="CK111" s="10">
        <v>-1</v>
      </c>
      <c r="CL111" s="10">
        <v>0</v>
      </c>
      <c r="CM111" s="10">
        <v>-1</v>
      </c>
      <c r="CN111" s="10">
        <v>0</v>
      </c>
      <c r="CO111" s="10">
        <v>0</v>
      </c>
      <c r="CP111" s="10">
        <v>0</v>
      </c>
      <c r="CQ111" s="10">
        <v>0</v>
      </c>
      <c r="CR111" s="10">
        <v>0</v>
      </c>
      <c r="CS111" s="10">
        <v>0</v>
      </c>
      <c r="CT111" s="10">
        <v>0</v>
      </c>
      <c r="CU111" s="10">
        <v>0</v>
      </c>
      <c r="CV111" s="10">
        <v>0</v>
      </c>
      <c r="CW111" s="10">
        <v>0</v>
      </c>
      <c r="CX111" s="10" t="s">
        <v>211</v>
      </c>
      <c r="CY111" s="1" t="str">
        <f>VLOOKUP(bovespa_diario_last_date_1[[#This Row],[Stock]],Patterns!H:J,2,0)</f>
        <v>CDLLONGLEGGEDDOJI_Bull</v>
      </c>
      <c r="CZ111" s="5">
        <f>IF(RIGHT(bovespa_diario_last_date_1[[#This Row],[PATTERN]],4)="Bull",1,IF(RIGHT(bovespa_diario_last_date_1[[#This Row],[PATTERN]],4)="Bear",-1,0))</f>
        <v>1</v>
      </c>
    </row>
    <row r="112" spans="1:104" x14ac:dyDescent="0.25">
      <c r="A112" s="4">
        <v>44491</v>
      </c>
      <c r="B112" s="10">
        <v>7.929999828338623</v>
      </c>
      <c r="C112" s="10">
        <v>7.070000171661377</v>
      </c>
      <c r="D112" s="10">
        <v>7.929999828338623</v>
      </c>
      <c r="E112" s="10">
        <v>7.4800000190734863</v>
      </c>
      <c r="F112" s="10">
        <v>6777200</v>
      </c>
      <c r="G112" s="10">
        <v>7.4800000190734863</v>
      </c>
      <c r="H112" s="10">
        <v>8.0100002288818359</v>
      </c>
      <c r="I112" s="10">
        <v>-6.6167315188995435E-2</v>
      </c>
      <c r="J112" s="10">
        <v>-6.8457995118461651E-2</v>
      </c>
      <c r="K112" s="10">
        <v>0.44999980926513672</v>
      </c>
      <c r="L112" s="10">
        <v>0.40999984741210938</v>
      </c>
      <c r="M112" s="10">
        <v>0</v>
      </c>
      <c r="N112" s="10">
        <v>5.8403609827511818E-2</v>
      </c>
      <c r="O112" s="10">
        <v>0.91111115820615907</v>
      </c>
      <c r="P112" s="10">
        <v>0</v>
      </c>
      <c r="Q112" s="10">
        <v>0.4999280341196688</v>
      </c>
      <c r="R112" s="10">
        <v>0.7313685068701008</v>
      </c>
      <c r="S112" s="10">
        <v>-0.18165291130348513</v>
      </c>
      <c r="T112" s="10">
        <v>-87.470247022503287</v>
      </c>
      <c r="U112" s="10">
        <v>-84.356308604737393</v>
      </c>
      <c r="V112" s="10">
        <v>-71.077492490603987</v>
      </c>
      <c r="W112" s="10">
        <v>-67.180574378892828</v>
      </c>
      <c r="X112" s="10">
        <v>-1.820000171661377</v>
      </c>
      <c r="Y112" s="10">
        <v>-0.16777764426337349</v>
      </c>
      <c r="Z112" s="10">
        <v>-6777200</v>
      </c>
      <c r="AA112" s="10">
        <v>12899800</v>
      </c>
      <c r="AB112" s="10">
        <v>-86.346588084603027</v>
      </c>
      <c r="AC112" s="10">
        <v>-61.120786143514735</v>
      </c>
      <c r="AD112" s="10">
        <v>18.783209838498177</v>
      </c>
      <c r="AE112" s="10">
        <v>69.814534892068536</v>
      </c>
      <c r="AF112" s="10">
        <v>-80.170773380905644</v>
      </c>
      <c r="AG112" s="10">
        <v>0.539285557610648</v>
      </c>
      <c r="AH112" s="10">
        <v>81.115331586523581</v>
      </c>
      <c r="AI112" s="10">
        <v>24.539421369840067</v>
      </c>
      <c r="AJ112" s="10">
        <v>8.059999942779541</v>
      </c>
      <c r="AK112" s="10">
        <v>8.8037499785423279</v>
      </c>
      <c r="AL112" s="10">
        <v>8.9849999189376835</v>
      </c>
      <c r="AM112" s="10">
        <v>0.54858187570696493</v>
      </c>
      <c r="AN112" s="10">
        <v>10.866816594600678</v>
      </c>
      <c r="AO112" s="10">
        <v>10.082163670351614</v>
      </c>
      <c r="AP112" s="10">
        <v>7.8878361675237532</v>
      </c>
      <c r="AQ112" s="10">
        <v>-0.34788284019288623</v>
      </c>
      <c r="AR112" s="10">
        <v>-5.4523549119025759E-2</v>
      </c>
      <c r="AS112" s="10">
        <v>0.24422120452142429</v>
      </c>
      <c r="AT112" s="10">
        <v>82.959346944195531</v>
      </c>
      <c r="AU112" s="10">
        <v>54.132645838570362</v>
      </c>
      <c r="AV112" s="10">
        <v>6.0091325162902081</v>
      </c>
      <c r="AW112" s="10">
        <v>27.818100116370758</v>
      </c>
      <c r="AX112" s="10">
        <v>-88.406662929314706</v>
      </c>
      <c r="AY112" s="10">
        <v>-70.486764140430267</v>
      </c>
      <c r="AZ112" s="10">
        <v>8.5745394397540693</v>
      </c>
      <c r="BA112" s="10">
        <v>-0.14632879918309927</v>
      </c>
      <c r="BB112" s="10">
        <v>-72.760362684210904</v>
      </c>
      <c r="BC112" s="10">
        <v>8.7051318351425238</v>
      </c>
      <c r="BD112" s="10">
        <v>8.9585331580087644</v>
      </c>
      <c r="BE112" s="10">
        <v>-0.19766485764239575</v>
      </c>
      <c r="BF112" s="10">
        <v>9.0777015303064115</v>
      </c>
      <c r="BG112" s="10">
        <v>9.6170289306526584</v>
      </c>
      <c r="BH112" s="10">
        <v>-0.28569905162164372</v>
      </c>
      <c r="BI112" s="10">
        <v>-71.534814602940145</v>
      </c>
      <c r="BJ112" s="10">
        <v>10.546837375263745</v>
      </c>
      <c r="BK112" s="10">
        <v>-0.41000499309759819</v>
      </c>
      <c r="BL112" s="10">
        <v>-0.37256969516388772</v>
      </c>
      <c r="BM112" s="10">
        <v>-0.26110546772125987</v>
      </c>
      <c r="BN112" s="10">
        <v>-0.11146422744262785</v>
      </c>
      <c r="BO112" s="10">
        <v>-87.538992567264074</v>
      </c>
      <c r="BP112" s="10">
        <v>-40.369089470159381</v>
      </c>
      <c r="BQ112" s="10">
        <v>2461866.6666666665</v>
      </c>
      <c r="BR112" s="10">
        <v>2642770</v>
      </c>
      <c r="BS112" s="10">
        <v>2632183.5</v>
      </c>
      <c r="BT112">
        <v>1.752870450606586</v>
      </c>
      <c r="BU112">
        <v>1.5644305028436074</v>
      </c>
      <c r="BV112" s="10">
        <v>16.015619397512513</v>
      </c>
      <c r="BW112" s="10">
        <v>16.130679039407312</v>
      </c>
      <c r="BX112" s="10">
        <v>16.130679039407312</v>
      </c>
      <c r="BY112" s="10">
        <v>27.81106635052625</v>
      </c>
      <c r="BZ112" s="10">
        <v>-88.770973256997621</v>
      </c>
      <c r="CA112" s="10">
        <v>85.478248031853511</v>
      </c>
      <c r="CB112" s="10">
        <v>0</v>
      </c>
      <c r="CC112" s="10">
        <v>0</v>
      </c>
      <c r="CD112" s="10">
        <v>0</v>
      </c>
      <c r="CE112" s="10">
        <v>0</v>
      </c>
      <c r="CF112" s="10">
        <v>0</v>
      </c>
      <c r="CG112" s="10">
        <v>0</v>
      </c>
      <c r="CH112" s="10">
        <v>0</v>
      </c>
      <c r="CI112" s="10">
        <v>0</v>
      </c>
      <c r="CJ112" s="10">
        <v>0</v>
      </c>
      <c r="CK112" s="10">
        <v>0</v>
      </c>
      <c r="CL112" s="10">
        <v>0</v>
      </c>
      <c r="CM112" s="10">
        <v>0</v>
      </c>
      <c r="CN112" s="10">
        <v>0</v>
      </c>
      <c r="CO112" s="10">
        <v>0</v>
      </c>
      <c r="CP112" s="10">
        <v>0</v>
      </c>
      <c r="CQ112" s="10">
        <v>0</v>
      </c>
      <c r="CR112" s="10">
        <v>0</v>
      </c>
      <c r="CS112" s="10">
        <v>0</v>
      </c>
      <c r="CT112" s="10">
        <v>0</v>
      </c>
      <c r="CU112" s="10">
        <v>0</v>
      </c>
      <c r="CV112" s="10">
        <v>0</v>
      </c>
      <c r="CW112" s="10">
        <v>0</v>
      </c>
      <c r="CX112" s="10" t="s">
        <v>212</v>
      </c>
      <c r="CY112" s="1" t="str">
        <f>VLOOKUP(bovespa_diario_last_date_1[[#This Row],[Stock]],Patterns!H:J,2,0)</f>
        <v>NO_PATTERN</v>
      </c>
      <c r="CZ112" s="5">
        <f>IF(RIGHT(bovespa_diario_last_date_1[[#This Row],[PATTERN]],4)="Bull",1,IF(RIGHT(bovespa_diario_last_date_1[[#This Row],[PATTERN]],4)="Bear",-1,0))</f>
        <v>0</v>
      </c>
    </row>
    <row r="113" spans="1:104" x14ac:dyDescent="0.25">
      <c r="A113" s="4">
        <v>44491</v>
      </c>
      <c r="B113" s="10">
        <v>7.3499999046325684</v>
      </c>
      <c r="C113" s="10">
        <v>6.369999885559082</v>
      </c>
      <c r="D113" s="10">
        <v>6.9499998092651367</v>
      </c>
      <c r="E113" s="10">
        <v>7.0999999046325684</v>
      </c>
      <c r="F113" s="10">
        <v>5851400</v>
      </c>
      <c r="G113" s="10">
        <v>7.0999999046325684</v>
      </c>
      <c r="H113" s="10">
        <v>7.0199999809265137</v>
      </c>
      <c r="I113" s="10">
        <v>1.1396000558891117E-2</v>
      </c>
      <c r="J113" s="10">
        <v>1.1331555294538047E-2</v>
      </c>
      <c r="K113" s="10">
        <v>0.15000009536743164</v>
      </c>
      <c r="L113" s="10">
        <v>0.57999992370605469</v>
      </c>
      <c r="M113" s="10">
        <v>0.25</v>
      </c>
      <c r="N113" s="10">
        <v>2.1352327177495592E-2</v>
      </c>
      <c r="O113" s="10">
        <v>3.8666636996817907</v>
      </c>
      <c r="P113" s="10">
        <v>1.666665607029211</v>
      </c>
      <c r="Q113" s="10">
        <v>0.43164949386353951</v>
      </c>
      <c r="R113" s="10">
        <v>0.61311301253756445</v>
      </c>
      <c r="S113" s="10">
        <v>-6.0127406345347335E-2</v>
      </c>
      <c r="T113" s="10">
        <v>-78.157214481330328</v>
      </c>
      <c r="U113" s="10">
        <v>-38.269575893821866</v>
      </c>
      <c r="V113" s="10">
        <v>-61.318636259534209</v>
      </c>
      <c r="W113" s="10">
        <v>-72.246149343241967</v>
      </c>
      <c r="X113" s="10">
        <v>-0.44000005722045898</v>
      </c>
      <c r="Y113" s="10">
        <v>-0.61666674084133577</v>
      </c>
      <c r="Z113" s="10">
        <v>5851400</v>
      </c>
      <c r="AA113" s="10">
        <v>68265900</v>
      </c>
      <c r="AB113" s="10">
        <v>72.896864133975669</v>
      </c>
      <c r="AC113" s="10">
        <v>-35.514843224389843</v>
      </c>
      <c r="AD113" s="10">
        <v>30.771700157667528</v>
      </c>
      <c r="AE113" s="10">
        <v>20.604952180796158</v>
      </c>
      <c r="AF113" s="10">
        <v>68.03454168902789</v>
      </c>
      <c r="AG113" s="10">
        <v>0.44714290755135672</v>
      </c>
      <c r="AH113" s="10">
        <v>64.839629126094906</v>
      </c>
      <c r="AI113" s="10">
        <v>-19.925581808091838</v>
      </c>
      <c r="AJ113" s="10">
        <v>7.2633333206176758</v>
      </c>
      <c r="AK113" s="10">
        <v>7.35999995470047</v>
      </c>
      <c r="AL113" s="10">
        <v>7.8049999952316282</v>
      </c>
      <c r="AM113" s="10">
        <v>0.59670590107001131</v>
      </c>
      <c r="AN113" s="10">
        <v>10.007550036907196</v>
      </c>
      <c r="AO113" s="10">
        <v>8.9984117973716504</v>
      </c>
      <c r="AP113" s="10">
        <v>6.6115881930916061</v>
      </c>
      <c r="AQ113" s="10">
        <v>-0.2673819603152976</v>
      </c>
      <c r="AR113" s="10">
        <v>6.8790382831172461E-2</v>
      </c>
      <c r="AS113" s="10">
        <v>0.3058069962508963</v>
      </c>
      <c r="AT113" s="10">
        <v>33.498956328327232</v>
      </c>
      <c r="AU113" s="10">
        <v>76.332449370589714</v>
      </c>
      <c r="AV113" s="10">
        <v>34.854624494875608</v>
      </c>
      <c r="AW113" s="10">
        <v>36.41005666233076</v>
      </c>
      <c r="AX113" s="10">
        <v>-82.449995786223894</v>
      </c>
      <c r="AY113" s="10">
        <v>72.260915139015182</v>
      </c>
      <c r="AZ113" s="10">
        <v>7.3944499223018303</v>
      </c>
      <c r="BA113" s="10">
        <v>-4.1471834031594962E-2</v>
      </c>
      <c r="BB113" s="10">
        <v>-62.944194464752023</v>
      </c>
      <c r="BC113" s="10">
        <v>7.4933294185839667</v>
      </c>
      <c r="BD113" s="10">
        <v>7.7903389713214546</v>
      </c>
      <c r="BE113" s="10">
        <v>-9.7230855769231433E-2</v>
      </c>
      <c r="BF113" s="10">
        <v>7.9452646031051293</v>
      </c>
      <c r="BG113" s="10">
        <v>8.5703084554915048</v>
      </c>
      <c r="BH113" s="10">
        <v>-0.20708571417016466</v>
      </c>
      <c r="BI113" s="10">
        <v>-71.412290765390495</v>
      </c>
      <c r="BJ113" s="10">
        <v>9.9571057153632161</v>
      </c>
      <c r="BK113" s="10">
        <v>-0.40240927452216713</v>
      </c>
      <c r="BL113" s="10">
        <v>-0.45193518452116255</v>
      </c>
      <c r="BM113" s="10">
        <v>-0.44746343638211744</v>
      </c>
      <c r="BN113" s="10">
        <v>-4.4717481390451064E-3</v>
      </c>
      <c r="BO113" s="10">
        <v>66.025304317901245</v>
      </c>
      <c r="BP113" s="10">
        <v>68.630183946570355</v>
      </c>
      <c r="BQ113" s="10">
        <v>2928555.5555555555</v>
      </c>
      <c r="BR113" s="10">
        <v>2931780</v>
      </c>
      <c r="BS113" s="10">
        <v>2417097</v>
      </c>
      <c r="BT113">
        <v>0.99804985392874768</v>
      </c>
      <c r="BU113">
        <v>0.99585234908485631</v>
      </c>
      <c r="BV113" s="10">
        <v>35.609753714793719</v>
      </c>
      <c r="BW113" s="10">
        <v>24.2713881289597</v>
      </c>
      <c r="BX113" s="10">
        <v>24.2713881289597</v>
      </c>
      <c r="BY113" s="10">
        <v>21.74149700170064</v>
      </c>
      <c r="BZ113" s="10">
        <v>86.176907227978091</v>
      </c>
      <c r="CA113" s="10">
        <v>-41.938980974708031</v>
      </c>
      <c r="CB113" s="10">
        <v>0</v>
      </c>
      <c r="CC113" s="10">
        <v>0</v>
      </c>
      <c r="CD113" s="10">
        <v>0</v>
      </c>
      <c r="CE113" s="10">
        <v>0</v>
      </c>
      <c r="CF113" s="10">
        <v>0</v>
      </c>
      <c r="CG113" s="10">
        <v>0</v>
      </c>
      <c r="CH113" s="10">
        <v>0</v>
      </c>
      <c r="CI113" s="10">
        <v>0</v>
      </c>
      <c r="CJ113" s="10">
        <v>0</v>
      </c>
      <c r="CK113" s="10">
        <v>0</v>
      </c>
      <c r="CL113" s="10">
        <v>0</v>
      </c>
      <c r="CM113" s="10">
        <v>0</v>
      </c>
      <c r="CN113" s="10">
        <v>0</v>
      </c>
      <c r="CO113" s="10">
        <v>0</v>
      </c>
      <c r="CP113" s="10">
        <v>0</v>
      </c>
      <c r="CQ113" s="10">
        <v>0</v>
      </c>
      <c r="CR113" s="10">
        <v>0</v>
      </c>
      <c r="CS113" s="10">
        <v>0</v>
      </c>
      <c r="CT113" s="10">
        <v>0</v>
      </c>
      <c r="CU113" s="10">
        <v>0</v>
      </c>
      <c r="CV113" s="10">
        <v>0</v>
      </c>
      <c r="CW113" s="10">
        <v>0</v>
      </c>
      <c r="CX113" s="10" t="s">
        <v>213</v>
      </c>
      <c r="CY113" s="1" t="str">
        <f>VLOOKUP(bovespa_diario_last_date_1[[#This Row],[Stock]],Patterns!H:J,2,0)</f>
        <v>CDLLADDERBOTTOM_Bull</v>
      </c>
      <c r="CZ113" s="5">
        <f>IF(RIGHT(bovespa_diario_last_date_1[[#This Row],[PATTERN]],4)="Bull",1,IF(RIGHT(bovespa_diario_last_date_1[[#This Row],[PATTERN]],4)="Bear",-1,0))</f>
        <v>1</v>
      </c>
    </row>
    <row r="114" spans="1:104" x14ac:dyDescent="0.25">
      <c r="A114" s="4">
        <v>44491</v>
      </c>
      <c r="B114" s="10">
        <v>3.5399999618530273</v>
      </c>
      <c r="C114" s="10">
        <v>3.2899999618530273</v>
      </c>
      <c r="D114" s="10">
        <v>3.5399999618530273</v>
      </c>
      <c r="E114" s="10">
        <v>3.440000057220459</v>
      </c>
      <c r="F114" s="10">
        <v>1866900</v>
      </c>
      <c r="G114" s="10">
        <v>3.440000057220459</v>
      </c>
      <c r="H114" s="10">
        <v>3.5499999523162842</v>
      </c>
      <c r="I114" s="10">
        <v>-3.0985886358689374E-2</v>
      </c>
      <c r="J114" s="10">
        <v>-3.1476102036130479E-2</v>
      </c>
      <c r="K114" s="10">
        <v>9.9999904632568359E-2</v>
      </c>
      <c r="L114" s="10">
        <v>0.15000009536743164</v>
      </c>
      <c r="M114" s="10">
        <v>0</v>
      </c>
      <c r="N114" s="10">
        <v>2.8653267724730518E-2</v>
      </c>
      <c r="O114" s="10">
        <v>1.5000023841880648</v>
      </c>
      <c r="P114" s="10">
        <v>0</v>
      </c>
      <c r="Q114" s="10">
        <v>0.38954239439925692</v>
      </c>
      <c r="R114" s="10">
        <v>0.38292557863550269</v>
      </c>
      <c r="S114" s="10">
        <v>-5.651222244931578E-2</v>
      </c>
      <c r="T114" s="10">
        <v>-81.023576984564087</v>
      </c>
      <c r="U114" s="10">
        <v>-60.631724466038158</v>
      </c>
      <c r="V114" s="10">
        <v>-39.756286227912391</v>
      </c>
      <c r="W114" s="10">
        <v>-42.062113762407613</v>
      </c>
      <c r="X114" s="10">
        <v>-0.27999997138977051</v>
      </c>
      <c r="Y114" s="10">
        <v>-7.4444426430596247E-2</v>
      </c>
      <c r="Z114" s="10">
        <v>-1866900</v>
      </c>
      <c r="AA114" s="10">
        <v>-65880600</v>
      </c>
      <c r="AB114" s="10">
        <v>-74.486268099129063</v>
      </c>
      <c r="AC114" s="10">
        <v>-7.4321534764667208</v>
      </c>
      <c r="AD114" s="10">
        <v>20.930427806548408</v>
      </c>
      <c r="AE114" s="10">
        <v>-68.428626823544732</v>
      </c>
      <c r="AF114" s="10">
        <v>-71.351076941591657</v>
      </c>
      <c r="AG114" s="10">
        <v>0.13714277744293213</v>
      </c>
      <c r="AH114" s="10">
        <v>72.040263321028078</v>
      </c>
      <c r="AI114" s="10">
        <v>24.62408198460604</v>
      </c>
      <c r="AJ114" s="10">
        <v>3.5666666825612388</v>
      </c>
      <c r="AK114" s="10">
        <v>3.6675000190734863</v>
      </c>
      <c r="AL114" s="10">
        <v>3.7295000195503234</v>
      </c>
      <c r="AM114" s="10">
        <v>0.11222508851592644</v>
      </c>
      <c r="AN114" s="10">
        <v>4.7073500132560726</v>
      </c>
      <c r="AO114" s="10">
        <v>3.9539501965821762</v>
      </c>
      <c r="AP114" s="10">
        <v>3.5050498425184706</v>
      </c>
      <c r="AQ114" s="10">
        <v>-0.14940410779440277</v>
      </c>
      <c r="AR114" s="10">
        <v>-1.8909820993018314E-2</v>
      </c>
      <c r="AS114" s="10">
        <v>0.12036475444712044</v>
      </c>
      <c r="AT114" s="10">
        <v>71.663923650741594</v>
      </c>
      <c r="AU114" s="10">
        <v>32.222505772201806</v>
      </c>
      <c r="AV114" s="10">
        <v>17.498914903197488</v>
      </c>
      <c r="AW114" s="10">
        <v>32.790202327619696</v>
      </c>
      <c r="AX114" s="10">
        <v>-88.060118575744184</v>
      </c>
      <c r="AY114" s="10">
        <v>-11.023698709727361</v>
      </c>
      <c r="AZ114" s="10">
        <v>3.6418262660440597</v>
      </c>
      <c r="BA114" s="10">
        <v>-5.8670408565829356E-2</v>
      </c>
      <c r="BB114" s="10">
        <v>-31.304249374172826</v>
      </c>
      <c r="BC114" s="10">
        <v>3.6661012569744988</v>
      </c>
      <c r="BD114" s="10">
        <v>3.7233539954313501</v>
      </c>
      <c r="BE114" s="10">
        <v>-8.2370329505122991E-2</v>
      </c>
      <c r="BF114" s="10">
        <v>3.7550037799234919</v>
      </c>
      <c r="BG114" s="10">
        <v>3.9165742368929046</v>
      </c>
      <c r="BH114" s="10">
        <v>-0.13853900341429659</v>
      </c>
      <c r="BI114" s="10">
        <v>-43.823397666898906</v>
      </c>
      <c r="BJ114" s="10">
        <v>4.5544028352186805</v>
      </c>
      <c r="BK114" s="10">
        <v>-0.32395429054110708</v>
      </c>
      <c r="BL114" s="10">
        <v>-8.8902522948993035E-2</v>
      </c>
      <c r="BM114" s="10">
        <v>-7.7429220332652149E-2</v>
      </c>
      <c r="BN114" s="10">
        <v>-1.1473302616340886E-2</v>
      </c>
      <c r="BO114" s="10">
        <v>-80.320316436940601</v>
      </c>
      <c r="BP114" s="10">
        <v>-24.938071502660179</v>
      </c>
      <c r="BQ114" s="10">
        <v>1036400</v>
      </c>
      <c r="BR114" s="10">
        <v>944195</v>
      </c>
      <c r="BS114" s="10">
        <v>1617242.5</v>
      </c>
      <c r="BT114">
        <v>0.80133153222693942</v>
      </c>
      <c r="BU114">
        <v>0.97723987100122334</v>
      </c>
      <c r="BV114" s="10">
        <v>25.000009934105094</v>
      </c>
      <c r="BW114" s="10">
        <v>21.175428603972126</v>
      </c>
      <c r="BX114" s="10">
        <v>21.175428603972126</v>
      </c>
      <c r="BY114" s="10">
        <v>24.958209044034088</v>
      </c>
      <c r="BZ114" s="10">
        <v>-54.224173148897236</v>
      </c>
      <c r="CA114" s="10">
        <v>-29.388629136647765</v>
      </c>
      <c r="CB114" s="10">
        <v>0</v>
      </c>
      <c r="CC114" s="10">
        <v>0</v>
      </c>
      <c r="CD114" s="10">
        <v>0</v>
      </c>
      <c r="CE114" s="10">
        <v>0</v>
      </c>
      <c r="CF114" s="10">
        <v>0</v>
      </c>
      <c r="CG114" s="10">
        <v>0</v>
      </c>
      <c r="CH114" s="10">
        <v>-1</v>
      </c>
      <c r="CI114" s="10">
        <v>0</v>
      </c>
      <c r="CJ114" s="10">
        <v>-1</v>
      </c>
      <c r="CK114" s="10">
        <v>0</v>
      </c>
      <c r="CL114" s="10">
        <v>0</v>
      </c>
      <c r="CM114" s="10">
        <v>0</v>
      </c>
      <c r="CN114" s="10">
        <v>0</v>
      </c>
      <c r="CO114" s="10">
        <v>0</v>
      </c>
      <c r="CP114" s="10">
        <v>0</v>
      </c>
      <c r="CQ114" s="10">
        <v>0</v>
      </c>
      <c r="CR114" s="10">
        <v>0</v>
      </c>
      <c r="CS114" s="10">
        <v>0</v>
      </c>
      <c r="CT114" s="10">
        <v>0</v>
      </c>
      <c r="CU114" s="10">
        <v>0</v>
      </c>
      <c r="CV114" s="10">
        <v>0</v>
      </c>
      <c r="CW114" s="10">
        <v>0</v>
      </c>
      <c r="CX114" s="10" t="s">
        <v>214</v>
      </c>
      <c r="CY114" s="1" t="str">
        <f>VLOOKUP(bovespa_diario_last_date_1[[#This Row],[Stock]],Patterns!H:J,2,0)</f>
        <v>CDLSPINNINGTOP_Bull</v>
      </c>
      <c r="CZ114" s="5">
        <f>IF(RIGHT(bovespa_diario_last_date_1[[#This Row],[PATTERN]],4)="Bull",1,IF(RIGHT(bovespa_diario_last_date_1[[#This Row],[PATTERN]],4)="Bear",-1,0))</f>
        <v>1</v>
      </c>
    </row>
    <row r="115" spans="1:104" x14ac:dyDescent="0.25">
      <c r="A115" s="4">
        <v>44491</v>
      </c>
      <c r="B115" s="10">
        <v>9.869999885559082</v>
      </c>
      <c r="C115" s="10">
        <v>9.3400001525878906</v>
      </c>
      <c r="D115" s="10">
        <v>9.869999885559082</v>
      </c>
      <c r="E115" s="10">
        <v>9.75</v>
      </c>
      <c r="F115" s="10">
        <v>1982700</v>
      </c>
      <c r="G115" s="10">
        <v>9.75</v>
      </c>
      <c r="H115" s="10">
        <v>9.9200000762939453</v>
      </c>
      <c r="I115" s="10">
        <v>-1.7137104333315278E-2</v>
      </c>
      <c r="J115" s="10">
        <v>-1.7285643977947449E-2</v>
      </c>
      <c r="K115" s="10">
        <v>0.11999988555908203</v>
      </c>
      <c r="L115" s="10">
        <v>0.40999984741210938</v>
      </c>
      <c r="M115" s="10">
        <v>0</v>
      </c>
      <c r="N115" s="10">
        <v>1.223240430774983E-2</v>
      </c>
      <c r="O115" s="10">
        <v>3.4166686534900541</v>
      </c>
      <c r="P115" s="10">
        <v>0</v>
      </c>
      <c r="Q115" s="10">
        <v>0.3065073970170244</v>
      </c>
      <c r="R115" s="10">
        <v>0.39446931940315594</v>
      </c>
      <c r="S115" s="10">
        <v>1.6546380203263072E-2</v>
      </c>
      <c r="T115" s="10">
        <v>-83.177331070145598</v>
      </c>
      <c r="U115" s="10">
        <v>-11.507794657916769</v>
      </c>
      <c r="V115" s="10">
        <v>46.123266314033131</v>
      </c>
      <c r="W115" s="10">
        <v>30.489237263016811</v>
      </c>
      <c r="X115" s="10">
        <v>0.22000026702880859</v>
      </c>
      <c r="Y115" s="10">
        <v>0.1666667726304796</v>
      </c>
      <c r="Z115" s="10">
        <v>-1982700</v>
      </c>
      <c r="AA115" s="10">
        <v>32140800</v>
      </c>
      <c r="AB115" s="10">
        <v>-75.374712805402453</v>
      </c>
      <c r="AC115" s="10">
        <v>71.916817302121629</v>
      </c>
      <c r="AD115" s="10">
        <v>23.825477572885912</v>
      </c>
      <c r="AE115" s="10">
        <v>82.325642260854906</v>
      </c>
      <c r="AF115" s="10">
        <v>65.730334649179468</v>
      </c>
      <c r="AG115" s="10">
        <v>0.37571423394339426</v>
      </c>
      <c r="AH115" s="10">
        <v>80.103045455687649</v>
      </c>
      <c r="AI115" s="10">
        <v>70.272618824331133</v>
      </c>
      <c r="AJ115" s="10">
        <v>9.8400001525878906</v>
      </c>
      <c r="AK115" s="10">
        <v>10.047500014305115</v>
      </c>
      <c r="AL115" s="10">
        <v>9.9039999008178707</v>
      </c>
      <c r="AM115" s="10">
        <v>0.25691282309905028</v>
      </c>
      <c r="AN115" s="10">
        <v>9.9587900733947752</v>
      </c>
      <c r="AO115" s="10">
        <v>10.417825547015971</v>
      </c>
      <c r="AP115" s="10">
        <v>9.3901742546197706</v>
      </c>
      <c r="AQ115" s="10">
        <v>-6.8494927899073937E-2</v>
      </c>
      <c r="AR115" s="10">
        <v>3.6905204654382504E-2</v>
      </c>
      <c r="AS115" s="10">
        <v>0.10376123815503441</v>
      </c>
      <c r="AT115" s="10">
        <v>-77.782953015987076</v>
      </c>
      <c r="AU115" s="10">
        <v>-63.017981004122944</v>
      </c>
      <c r="AV115" s="10">
        <v>22.606565294674382</v>
      </c>
      <c r="AW115" s="10">
        <v>45.787912255095833</v>
      </c>
      <c r="AX115" s="10">
        <v>-88.212006454477446</v>
      </c>
      <c r="AY115" s="10">
        <v>25.723493060188311</v>
      </c>
      <c r="AZ115" s="10">
        <v>9.9351379357062957</v>
      </c>
      <c r="BA115" s="10">
        <v>-1.8988506226286735E-2</v>
      </c>
      <c r="BB115" s="10">
        <v>67.044490822577558</v>
      </c>
      <c r="BC115" s="10">
        <v>9.9228676481790021</v>
      </c>
      <c r="BD115" s="10">
        <v>9.8549720535411769</v>
      </c>
      <c r="BE115" s="10">
        <v>-1.0766364465761732E-2</v>
      </c>
      <c r="BF115" s="10">
        <v>9.8147587348786463</v>
      </c>
      <c r="BG115" s="10">
        <v>9.6841749569467979</v>
      </c>
      <c r="BH115" s="10">
        <v>6.7512864669950906E-3</v>
      </c>
      <c r="BI115" s="10">
        <v>51.361543967493638</v>
      </c>
      <c r="BJ115" s="10">
        <v>9.8742196326696252</v>
      </c>
      <c r="BK115" s="10">
        <v>-1.2740475145602587E-2</v>
      </c>
      <c r="BL115" s="10">
        <v>0.10810891330035588</v>
      </c>
      <c r="BM115" s="10">
        <v>0.13203718224451552</v>
      </c>
      <c r="BN115" s="10">
        <v>-2.3928268944159642E-2</v>
      </c>
      <c r="BO115" s="10">
        <v>-86.992268346489794</v>
      </c>
      <c r="BP115" s="10">
        <v>-65.759549658686751</v>
      </c>
      <c r="BQ115" s="10">
        <v>2061322.2222222222</v>
      </c>
      <c r="BR115" s="10">
        <v>1855155</v>
      </c>
      <c r="BS115" s="10">
        <v>1485625</v>
      </c>
      <c r="BT115">
        <v>-3.8141645869156249E-2</v>
      </c>
      <c r="BU115">
        <v>6.8751667650411852E-2</v>
      </c>
      <c r="BV115" s="10">
        <v>32.061064256516467</v>
      </c>
      <c r="BW115" s="10">
        <v>38.931302711418986</v>
      </c>
      <c r="BX115" s="10">
        <v>38.931302711418986</v>
      </c>
      <c r="BY115" s="10">
        <v>55.151294181383385</v>
      </c>
      <c r="BZ115" s="10">
        <v>-86.029206994526376</v>
      </c>
      <c r="CA115" s="10">
        <v>46.821561055434067</v>
      </c>
      <c r="CB115" s="10">
        <v>1</v>
      </c>
      <c r="CC115" s="10">
        <v>0</v>
      </c>
      <c r="CD115" s="10">
        <v>1</v>
      </c>
      <c r="CE115" s="10">
        <v>0</v>
      </c>
      <c r="CF115" s="10">
        <v>0</v>
      </c>
      <c r="CG115" s="10">
        <v>0</v>
      </c>
      <c r="CH115" s="10">
        <v>0</v>
      </c>
      <c r="CI115" s="10">
        <v>0</v>
      </c>
      <c r="CJ115" s="10">
        <v>0</v>
      </c>
      <c r="CK115" s="10">
        <v>-1</v>
      </c>
      <c r="CL115" s="10">
        <v>0</v>
      </c>
      <c r="CM115" s="10">
        <v>-1</v>
      </c>
      <c r="CN115" s="10">
        <v>0</v>
      </c>
      <c r="CO115" s="10">
        <v>0</v>
      </c>
      <c r="CP115" s="10">
        <v>0</v>
      </c>
      <c r="CQ115" s="10">
        <v>0</v>
      </c>
      <c r="CR115" s="10">
        <v>0</v>
      </c>
      <c r="CS115" s="10">
        <v>0</v>
      </c>
      <c r="CT115" s="10">
        <v>0</v>
      </c>
      <c r="CU115" s="10">
        <v>0</v>
      </c>
      <c r="CV115" s="10">
        <v>0</v>
      </c>
      <c r="CW115" s="10">
        <v>0</v>
      </c>
      <c r="CX115" s="10" t="s">
        <v>215</v>
      </c>
      <c r="CY115" s="1" t="str">
        <f>VLOOKUP(bovespa_diario_last_date_1[[#This Row],[Stock]],Patterns!H:J,2,0)</f>
        <v>CDLRICKSHAWMAN_Bull</v>
      </c>
      <c r="CZ115" s="5">
        <f>IF(RIGHT(bovespa_diario_last_date_1[[#This Row],[PATTERN]],4)="Bull",1,IF(RIGHT(bovespa_diario_last_date_1[[#This Row],[PATTERN]],4)="Bear",-1,0))</f>
        <v>1</v>
      </c>
    </row>
    <row r="116" spans="1:104" x14ac:dyDescent="0.25">
      <c r="A116" s="4">
        <v>44491</v>
      </c>
      <c r="B116" s="10">
        <v>6.4899997711181641</v>
      </c>
      <c r="C116" s="10">
        <v>5.9200000762939453</v>
      </c>
      <c r="D116" s="10">
        <v>6.4800000190734863</v>
      </c>
      <c r="E116" s="10">
        <v>6.1500000953674316</v>
      </c>
      <c r="F116" s="10">
        <v>6789300</v>
      </c>
      <c r="G116" s="10">
        <v>6.1500000953674316</v>
      </c>
      <c r="H116" s="10">
        <v>6.5100002288818359</v>
      </c>
      <c r="I116" s="10">
        <v>-5.5299557735382532E-2</v>
      </c>
      <c r="J116" s="10">
        <v>-5.6887394053651612E-2</v>
      </c>
      <c r="K116" s="10">
        <v>0.32999992370605469</v>
      </c>
      <c r="L116" s="10">
        <v>0.23000001907348633</v>
      </c>
      <c r="M116" s="10">
        <v>9.9997520446777344E-3</v>
      </c>
      <c r="N116" s="10">
        <v>5.2256519511625125E-2</v>
      </c>
      <c r="O116" s="10">
        <v>0.69696991590324542</v>
      </c>
      <c r="P116" s="10">
        <v>3.0302285928965698E-2</v>
      </c>
      <c r="Q116" s="10">
        <v>0.47279884440294784</v>
      </c>
      <c r="R116" s="10">
        <v>0.52316696719296973</v>
      </c>
      <c r="S116" s="10">
        <v>-0.13799294607494397</v>
      </c>
      <c r="T116" s="10">
        <v>-84.859096268836666</v>
      </c>
      <c r="U116" s="10">
        <v>-77.82307349244563</v>
      </c>
      <c r="V116" s="10">
        <v>-64.973637119763026</v>
      </c>
      <c r="W116" s="10">
        <v>-63.079098541869527</v>
      </c>
      <c r="X116" s="10">
        <v>-1.190000057220459</v>
      </c>
      <c r="Y116" s="10">
        <v>-0.31111113230387372</v>
      </c>
      <c r="Z116" s="10">
        <v>-6789300</v>
      </c>
      <c r="AA116" s="10">
        <v>-12892300</v>
      </c>
      <c r="AB116" s="10">
        <v>-87.772900644857145</v>
      </c>
      <c r="AC116" s="10">
        <v>-79.07092096371592</v>
      </c>
      <c r="AD116" s="10">
        <v>39.275258584208188</v>
      </c>
      <c r="AE116" s="10">
        <v>-63.00136922888543</v>
      </c>
      <c r="AF116" s="10">
        <v>-82.45137364031649</v>
      </c>
      <c r="AG116" s="10">
        <v>0.39071433884756906</v>
      </c>
      <c r="AH116" s="10">
        <v>12.564659197967318</v>
      </c>
      <c r="AI116" s="10">
        <v>-22.604820092523379</v>
      </c>
      <c r="AJ116" s="10">
        <v>6.540000120798747</v>
      </c>
      <c r="AK116" s="10">
        <v>7.03125</v>
      </c>
      <c r="AL116" s="10">
        <v>7.2935000181198122</v>
      </c>
      <c r="AM116" s="10">
        <v>0.43568788710254547</v>
      </c>
      <c r="AN116" s="10">
        <v>11.486350023746491</v>
      </c>
      <c r="AO116" s="10">
        <v>8.1648757923249029</v>
      </c>
      <c r="AP116" s="10">
        <v>6.4221242439147215</v>
      </c>
      <c r="AQ116" s="10">
        <v>-0.32762205946552797</v>
      </c>
      <c r="AR116" s="10">
        <v>-4.4247828345933021E-2</v>
      </c>
      <c r="AS116" s="10">
        <v>0.23894584823205972</v>
      </c>
      <c r="AT116" s="10">
        <v>54.263790314110977</v>
      </c>
      <c r="AU116" s="10">
        <v>-64.679110725368915</v>
      </c>
      <c r="AV116" s="10">
        <v>5.5047851727149748</v>
      </c>
      <c r="AW116" s="10">
        <v>22.709296448698026</v>
      </c>
      <c r="AX116" s="10">
        <v>-87.988373335002748</v>
      </c>
      <c r="AY116" s="10">
        <v>-37.724284989514061</v>
      </c>
      <c r="AZ116" s="10">
        <v>6.9202354889681192</v>
      </c>
      <c r="BA116" s="10">
        <v>-0.1252415254726382</v>
      </c>
      <c r="BB116" s="10">
        <v>-63.619611485765503</v>
      </c>
      <c r="BC116" s="10">
        <v>7.04339919871102</v>
      </c>
      <c r="BD116" s="10">
        <v>7.375560632699572</v>
      </c>
      <c r="BE116" s="10">
        <v>-0.19927813306138156</v>
      </c>
      <c r="BF116" s="10">
        <v>7.5653533334828253</v>
      </c>
      <c r="BG116" s="10">
        <v>8.4937135930260492</v>
      </c>
      <c r="BH116" s="10">
        <v>-0.38109161972599814</v>
      </c>
      <c r="BI116" s="10">
        <v>-73.137510678201863</v>
      </c>
      <c r="BJ116" s="10">
        <v>10.951646199233176</v>
      </c>
      <c r="BK116" s="10">
        <v>-0.78075545193611418</v>
      </c>
      <c r="BL116" s="10">
        <v>-0.5219541347718053</v>
      </c>
      <c r="BM116" s="10">
        <v>-0.49710244346431981</v>
      </c>
      <c r="BN116" s="10">
        <v>-2.4851691307485491E-2</v>
      </c>
      <c r="BO116" s="10">
        <v>-83.050754989001163</v>
      </c>
      <c r="BP116" s="10">
        <v>38.467294496955297</v>
      </c>
      <c r="BQ116" s="10">
        <v>2624355.5555555555</v>
      </c>
      <c r="BR116" s="10">
        <v>2516000</v>
      </c>
      <c r="BS116" s="10">
        <v>2225029.5</v>
      </c>
      <c r="BT116">
        <v>1.5870351239669422</v>
      </c>
      <c r="BU116">
        <v>1.698449920508744</v>
      </c>
      <c r="BV116" s="10">
        <v>12.921351324562742</v>
      </c>
      <c r="BW116" s="10">
        <v>8.1162658498695688</v>
      </c>
      <c r="BX116" s="10">
        <v>8.1162658498695688</v>
      </c>
      <c r="BY116" s="10">
        <v>15.768848729283457</v>
      </c>
      <c r="BZ116" s="10">
        <v>-86.386898737746137</v>
      </c>
      <c r="CA116" s="10">
        <v>79.748895188898416</v>
      </c>
      <c r="CB116" s="10">
        <v>0</v>
      </c>
      <c r="CC116" s="10">
        <v>0</v>
      </c>
      <c r="CD116" s="10">
        <v>0</v>
      </c>
      <c r="CE116" s="10">
        <v>0</v>
      </c>
      <c r="CF116" s="10">
        <v>0</v>
      </c>
      <c r="CG116" s="10">
        <v>0</v>
      </c>
      <c r="CH116" s="10">
        <v>-1</v>
      </c>
      <c r="CI116" s="10">
        <v>0</v>
      </c>
      <c r="CJ116" s="10">
        <v>-1</v>
      </c>
      <c r="CK116" s="10">
        <v>0</v>
      </c>
      <c r="CL116" s="10">
        <v>0</v>
      </c>
      <c r="CM116" s="10">
        <v>0</v>
      </c>
      <c r="CN116" s="10">
        <v>0</v>
      </c>
      <c r="CO116" s="10">
        <v>0</v>
      </c>
      <c r="CP116" s="10">
        <v>0</v>
      </c>
      <c r="CQ116" s="10">
        <v>0</v>
      </c>
      <c r="CR116" s="10">
        <v>0</v>
      </c>
      <c r="CS116" s="10">
        <v>0</v>
      </c>
      <c r="CT116" s="10">
        <v>0</v>
      </c>
      <c r="CU116" s="10">
        <v>0</v>
      </c>
      <c r="CV116" s="10">
        <v>0</v>
      </c>
      <c r="CW116" s="10">
        <v>0</v>
      </c>
      <c r="CX116" s="10" t="s">
        <v>217</v>
      </c>
      <c r="CY116" s="1" t="str">
        <f>VLOOKUP(bovespa_diario_last_date_1[[#This Row],[Stock]],Patterns!H:J,2,0)</f>
        <v>NO_PATTERN</v>
      </c>
      <c r="CZ116" s="5">
        <f>IF(RIGHT(bovespa_diario_last_date_1[[#This Row],[PATTERN]],4)="Bull",1,IF(RIGHT(bovespa_diario_last_date_1[[#This Row],[PATTERN]],4)="Bear",-1,0))</f>
        <v>0</v>
      </c>
    </row>
    <row r="117" spans="1:104" x14ac:dyDescent="0.25">
      <c r="A117" s="4">
        <v>44491</v>
      </c>
      <c r="B117" s="10">
        <v>13.649999618530273</v>
      </c>
      <c r="C117" s="10">
        <v>12.960000038146973</v>
      </c>
      <c r="D117" s="10">
        <v>13.5</v>
      </c>
      <c r="E117" s="10">
        <v>13.510000228881836</v>
      </c>
      <c r="F117" s="10">
        <v>3441600</v>
      </c>
      <c r="G117" s="10">
        <v>13.510000228881836</v>
      </c>
      <c r="H117" s="10">
        <v>13.550000190734863</v>
      </c>
      <c r="I117" s="10">
        <v>-2.9520266634666115E-3</v>
      </c>
      <c r="J117" s="10">
        <v>-2.9563924883154184E-3</v>
      </c>
      <c r="K117" s="10">
        <v>1.0000228881835938E-2</v>
      </c>
      <c r="L117" s="10">
        <v>0.53999996185302734</v>
      </c>
      <c r="M117" s="10">
        <v>0.1399993896484375</v>
      </c>
      <c r="N117" s="10">
        <v>7.4048343554937673E-4</v>
      </c>
      <c r="O117" s="10">
        <v>53.99876025176426</v>
      </c>
      <c r="P117" s="10">
        <v>13.999618539004388</v>
      </c>
      <c r="Q117" s="10">
        <v>0.2959989338403079</v>
      </c>
      <c r="R117" s="10">
        <v>0.2197429284888596</v>
      </c>
      <c r="S117" s="10">
        <v>-6.6396518774825136E-3</v>
      </c>
      <c r="T117" s="10">
        <v>-83.869513232408465</v>
      </c>
      <c r="U117" s="10">
        <v>-73.470977832435949</v>
      </c>
      <c r="V117" s="10">
        <v>36.990499781202097</v>
      </c>
      <c r="W117" s="10">
        <v>-32.069944399926626</v>
      </c>
      <c r="X117" s="10">
        <v>-0.31999969482421875</v>
      </c>
      <c r="Y117" s="10">
        <v>0.22555563184950086</v>
      </c>
      <c r="Z117" s="10">
        <v>-3441600</v>
      </c>
      <c r="AA117" s="10">
        <v>8427400</v>
      </c>
      <c r="AB117" s="10">
        <v>-84.595819080029315</v>
      </c>
      <c r="AC117" s="10">
        <v>55.785766952048029</v>
      </c>
      <c r="AD117" s="10">
        <v>17.41709090494502</v>
      </c>
      <c r="AE117" s="10">
        <v>69.460376351400626</v>
      </c>
      <c r="AF117" s="10">
        <v>-77.702200703965772</v>
      </c>
      <c r="AG117" s="10">
        <v>0.3728572300502232</v>
      </c>
      <c r="AH117" s="10">
        <v>34.009322870542832</v>
      </c>
      <c r="AI117" s="10">
        <v>-49.330758215102854</v>
      </c>
      <c r="AJ117" s="10">
        <v>13.663333574930826</v>
      </c>
      <c r="AK117" s="10">
        <v>14.006250143051147</v>
      </c>
      <c r="AL117" s="10">
        <v>13.936050939559937</v>
      </c>
      <c r="AM117" s="10">
        <v>0.32670030878001521</v>
      </c>
      <c r="AN117" s="10">
        <v>14.712795767784119</v>
      </c>
      <c r="AO117" s="10">
        <v>14.589451557119968</v>
      </c>
      <c r="AP117" s="10">
        <v>13.282650321999906</v>
      </c>
      <c r="AQ117" s="10">
        <v>-7.9900170980787166E-2</v>
      </c>
      <c r="AR117" s="10">
        <v>1.6828268173963351E-2</v>
      </c>
      <c r="AS117" s="10">
        <v>9.3771272851082693E-2</v>
      </c>
      <c r="AT117" s="10">
        <v>-8.3273131593218395</v>
      </c>
      <c r="AU117" s="10">
        <v>2.8669483121996886</v>
      </c>
      <c r="AV117" s="10">
        <v>10.28679534957503</v>
      </c>
      <c r="AW117" s="10">
        <v>35.505700155177465</v>
      </c>
      <c r="AX117" s="10">
        <v>-88.693765951545373</v>
      </c>
      <c r="AY117" s="10">
        <v>69.810164156267277</v>
      </c>
      <c r="AZ117" s="10">
        <v>13.850593737837098</v>
      </c>
      <c r="BA117" s="10">
        <v>-2.5210473958922466E-2</v>
      </c>
      <c r="BB117" s="10">
        <v>25.365305182761944</v>
      </c>
      <c r="BC117" s="10">
        <v>13.879092206158255</v>
      </c>
      <c r="BD117" s="10">
        <v>13.905968681533716</v>
      </c>
      <c r="BE117" s="10">
        <v>-2.9309285414027924E-2</v>
      </c>
      <c r="BF117" s="10">
        <v>13.90775847434835</v>
      </c>
      <c r="BG117" s="10">
        <v>13.963863400488821</v>
      </c>
      <c r="BH117" s="10">
        <v>-3.3594608728185718E-2</v>
      </c>
      <c r="BI117" s="10">
        <v>-0.61629488580945146</v>
      </c>
      <c r="BJ117" s="10">
        <v>14.438822580491985</v>
      </c>
      <c r="BK117" s="10">
        <v>-6.8750728043993806E-2</v>
      </c>
      <c r="BL117" s="10">
        <v>-2.8666268190095323E-2</v>
      </c>
      <c r="BM117" s="10">
        <v>2.0428594857119221E-2</v>
      </c>
      <c r="BN117" s="10">
        <v>-4.909486304721454E-2</v>
      </c>
      <c r="BO117" s="10">
        <v>-84.496667047377969</v>
      </c>
      <c r="BP117" s="10">
        <v>72.797012214665585</v>
      </c>
      <c r="BQ117" s="10">
        <v>2075033.3333333333</v>
      </c>
      <c r="BR117" s="10">
        <v>2004920</v>
      </c>
      <c r="BS117" s="10">
        <v>2136587</v>
      </c>
      <c r="BT117">
        <v>0.65857576585115107</v>
      </c>
      <c r="BU117">
        <v>0.71657722003870483</v>
      </c>
      <c r="BV117" s="10">
        <v>37.16218654390898</v>
      </c>
      <c r="BW117" s="10">
        <v>38.824210198153438</v>
      </c>
      <c r="BX117" s="10">
        <v>38.824210198153438</v>
      </c>
      <c r="BY117" s="10">
        <v>50.5851168395805</v>
      </c>
      <c r="BZ117" s="10">
        <v>-70.397984505434451</v>
      </c>
      <c r="CA117" s="10">
        <v>80.667166464724161</v>
      </c>
      <c r="CB117" s="10">
        <v>1</v>
      </c>
      <c r="CC117" s="10">
        <v>0</v>
      </c>
      <c r="CD117" s="10">
        <v>1</v>
      </c>
      <c r="CE117" s="10">
        <v>0</v>
      </c>
      <c r="CF117" s="10">
        <v>0</v>
      </c>
      <c r="CG117" s="10">
        <v>0</v>
      </c>
      <c r="CH117" s="10">
        <v>0</v>
      </c>
      <c r="CI117" s="10">
        <v>0</v>
      </c>
      <c r="CJ117" s="10">
        <v>0</v>
      </c>
      <c r="CK117" s="10">
        <v>-1</v>
      </c>
      <c r="CL117" s="10">
        <v>0</v>
      </c>
      <c r="CM117" s="10">
        <v>-1</v>
      </c>
      <c r="CN117" s="10">
        <v>0</v>
      </c>
      <c r="CO117" s="10">
        <v>0</v>
      </c>
      <c r="CP117" s="10">
        <v>0</v>
      </c>
      <c r="CQ117" s="10">
        <v>0</v>
      </c>
      <c r="CR117" s="10">
        <v>0</v>
      </c>
      <c r="CS117" s="10">
        <v>0</v>
      </c>
      <c r="CT117" s="10">
        <v>0</v>
      </c>
      <c r="CU117" s="10">
        <v>0</v>
      </c>
      <c r="CV117" s="10">
        <v>0</v>
      </c>
      <c r="CW117" s="10">
        <v>0</v>
      </c>
      <c r="CX117" s="10" t="s">
        <v>218</v>
      </c>
      <c r="CY117" s="1" t="str">
        <f>VLOOKUP(bovespa_diario_last_date_1[[#This Row],[Stock]],Patterns!H:J,2,0)</f>
        <v>CDLCLOSINGMARUBOZU_Bull</v>
      </c>
      <c r="CZ117" s="5">
        <f>IF(RIGHT(bovespa_diario_last_date_1[[#This Row],[PATTERN]],4)="Bull",1,IF(RIGHT(bovespa_diario_last_date_1[[#This Row],[PATTERN]],4)="Bear",-1,0))</f>
        <v>1</v>
      </c>
    </row>
    <row r="118" spans="1:104" x14ac:dyDescent="0.25">
      <c r="A118" s="4">
        <v>44491</v>
      </c>
      <c r="B118" s="10">
        <v>0.69999998807907104</v>
      </c>
      <c r="C118" s="10">
        <v>0.67000001668930054</v>
      </c>
      <c r="D118" s="10">
        <v>0.68999999761581421</v>
      </c>
      <c r="E118" s="10">
        <v>0.68000000715255737</v>
      </c>
      <c r="F118" s="10">
        <v>4853100</v>
      </c>
      <c r="G118" s="10">
        <v>0.68000000715255737</v>
      </c>
      <c r="H118" s="10">
        <v>0.69999998807907104</v>
      </c>
      <c r="I118" s="10">
        <v>-2.8571401810159047E-2</v>
      </c>
      <c r="J118" s="10">
        <v>-2.8987509324886983E-2</v>
      </c>
      <c r="K118" s="10">
        <v>9.9999904632568359E-3</v>
      </c>
      <c r="L118" s="10">
        <v>9.9999904632568359E-3</v>
      </c>
      <c r="M118" s="10">
        <v>9.9999904632568359E-3</v>
      </c>
      <c r="N118" s="10">
        <v>1.4598526172921514E-2</v>
      </c>
      <c r="O118" s="10">
        <v>1</v>
      </c>
      <c r="P118" s="10">
        <v>1</v>
      </c>
      <c r="Q118" s="10">
        <v>0.5668009361865155</v>
      </c>
      <c r="R118" s="10">
        <v>0.35284634303341483</v>
      </c>
      <c r="S118" s="10">
        <v>-7.0951751581880995E-2</v>
      </c>
      <c r="T118" s="10">
        <v>-70.495393891622058</v>
      </c>
      <c r="U118" s="10">
        <v>-49.252153690956263</v>
      </c>
      <c r="V118" s="10">
        <v>-40.844639128902422</v>
      </c>
      <c r="W118" s="10">
        <v>-39.135297061708698</v>
      </c>
      <c r="X118" s="10">
        <v>-6.0000002384185791E-2</v>
      </c>
      <c r="Y118" s="10">
        <v>-3.5555541515350342E-2</v>
      </c>
      <c r="Z118" s="10">
        <v>-4853100</v>
      </c>
      <c r="AA118" s="10">
        <v>64933796</v>
      </c>
      <c r="AB118" s="10">
        <v>-79.828571911557205</v>
      </c>
      <c r="AC118" s="10">
        <v>-25.009508731199809</v>
      </c>
      <c r="AD118" s="10">
        <v>21.70269816327642</v>
      </c>
      <c r="AE118" s="10">
        <v>82.87883981026944</v>
      </c>
      <c r="AF118" s="10">
        <v>76.258959827758318</v>
      </c>
      <c r="AG118" s="10">
        <v>2.6428558996745517E-2</v>
      </c>
      <c r="AH118" s="10">
        <v>-30.608915393991701</v>
      </c>
      <c r="AI118" s="10">
        <v>-63.282321252651919</v>
      </c>
      <c r="AJ118" s="10">
        <v>0.70000000794728601</v>
      </c>
      <c r="AK118" s="10">
        <v>0.72375001013278961</v>
      </c>
      <c r="AL118" s="10">
        <v>0.74650000333786015</v>
      </c>
      <c r="AM118" s="10">
        <v>2.8704477903296027E-2</v>
      </c>
      <c r="AN118" s="10">
        <v>0.90445000112056728</v>
      </c>
      <c r="AO118" s="10">
        <v>0.80390895914445215</v>
      </c>
      <c r="AP118" s="10">
        <v>0.68909104753126815</v>
      </c>
      <c r="AQ118" s="10">
        <v>-0.18221904513023912</v>
      </c>
      <c r="AR118" s="10">
        <v>-1.336917688689261E-2</v>
      </c>
      <c r="AS118" s="10">
        <v>0.15380832029443178</v>
      </c>
      <c r="AT118" s="10">
        <v>69.958769687867516</v>
      </c>
      <c r="AU118" s="10">
        <v>-12.297967233306883</v>
      </c>
      <c r="AV118" s="10">
        <v>2.2710787725517747</v>
      </c>
      <c r="AW118" s="10">
        <v>22.947315636057596</v>
      </c>
      <c r="AX118" s="10">
        <v>-87.877905968002921</v>
      </c>
      <c r="AY118" s="10">
        <v>-80.898959336724218</v>
      </c>
      <c r="AZ118" s="10">
        <v>0.71981746669808122</v>
      </c>
      <c r="BA118" s="10">
        <v>-5.8555086951037102E-2</v>
      </c>
      <c r="BB118" s="10">
        <v>-33.990764913157925</v>
      </c>
      <c r="BC118" s="10">
        <v>0.72666476250518541</v>
      </c>
      <c r="BD118" s="10">
        <v>0.74340877134269312</v>
      </c>
      <c r="BE118" s="10">
        <v>-9.3248181651724674E-2</v>
      </c>
      <c r="BF118" s="10">
        <v>0.75173929177264631</v>
      </c>
      <c r="BG118" s="10">
        <v>0.78548746393096069</v>
      </c>
      <c r="BH118" s="10">
        <v>-0.1551286112777015</v>
      </c>
      <c r="BI118" s="10">
        <v>-32.176292854513399</v>
      </c>
      <c r="BJ118" s="10">
        <v>0.94132976467151253</v>
      </c>
      <c r="BK118" s="10">
        <v>-0.38430846289730414</v>
      </c>
      <c r="BL118" s="10">
        <v>-2.5074529267460899E-2</v>
      </c>
      <c r="BM118" s="10">
        <v>-2.1837109111056317E-2</v>
      </c>
      <c r="BN118" s="10">
        <v>-3.2374201564045815E-3</v>
      </c>
      <c r="BO118" s="10">
        <v>-66.138767423719287</v>
      </c>
      <c r="BP118" s="10">
        <v>-28.879558222358078</v>
      </c>
      <c r="BQ118" s="10">
        <v>3046777.777777778</v>
      </c>
      <c r="BR118" s="10">
        <v>3503765</v>
      </c>
      <c r="BS118" s="10">
        <v>8692606</v>
      </c>
      <c r="BT118">
        <v>0.59286313409430713</v>
      </c>
      <c r="BU118">
        <v>0.38511001736703232</v>
      </c>
      <c r="BV118" s="10">
        <v>8.3333250549107767</v>
      </c>
      <c r="BW118" s="10">
        <v>8.8383745109055756</v>
      </c>
      <c r="BX118" s="10">
        <v>8.8383745109055756</v>
      </c>
      <c r="BY118" s="10">
        <v>9.9927760713069258</v>
      </c>
      <c r="BZ118" s="10">
        <v>-82.945497041025675</v>
      </c>
      <c r="CA118" s="10">
        <v>-85.52210905026908</v>
      </c>
      <c r="CB118" s="10">
        <v>0</v>
      </c>
      <c r="CC118" s="10">
        <v>0</v>
      </c>
      <c r="CD118" s="10">
        <v>0</v>
      </c>
      <c r="CE118" s="10">
        <v>0</v>
      </c>
      <c r="CF118" s="10">
        <v>0</v>
      </c>
      <c r="CG118" s="10">
        <v>0</v>
      </c>
      <c r="CH118" s="10">
        <v>0</v>
      </c>
      <c r="CI118" s="10">
        <v>0</v>
      </c>
      <c r="CJ118" s="10">
        <v>0</v>
      </c>
      <c r="CK118" s="10">
        <v>0</v>
      </c>
      <c r="CL118" s="10">
        <v>0</v>
      </c>
      <c r="CM118" s="10">
        <v>0</v>
      </c>
      <c r="CN118" s="10">
        <v>0</v>
      </c>
      <c r="CO118" s="10">
        <v>0</v>
      </c>
      <c r="CP118" s="10">
        <v>0</v>
      </c>
      <c r="CQ118" s="10">
        <v>0</v>
      </c>
      <c r="CR118" s="10">
        <v>0</v>
      </c>
      <c r="CS118" s="10">
        <v>0</v>
      </c>
      <c r="CT118" s="10">
        <v>0</v>
      </c>
      <c r="CU118" s="10">
        <v>0</v>
      </c>
      <c r="CV118" s="10">
        <v>0</v>
      </c>
      <c r="CW118" s="10">
        <v>0</v>
      </c>
      <c r="CX118" s="10" t="s">
        <v>219</v>
      </c>
      <c r="CY118" s="1" t="str">
        <f>VLOOKUP(bovespa_diario_last_date_1[[#This Row],[Stock]],Patterns!H:J,2,0)</f>
        <v>CDLRICKSHAWMAN_Bull</v>
      </c>
      <c r="CZ118" s="5">
        <f>IF(RIGHT(bovespa_diario_last_date_1[[#This Row],[PATTERN]],4)="Bull",1,IF(RIGHT(bovespa_diario_last_date_1[[#This Row],[PATTERN]],4)="Bear",-1,0))</f>
        <v>1</v>
      </c>
    </row>
    <row r="119" spans="1:104" x14ac:dyDescent="0.25">
      <c r="A119" s="4">
        <v>44491</v>
      </c>
      <c r="B119" s="10">
        <v>14.119999885559082</v>
      </c>
      <c r="C119" s="10">
        <v>12.890000343322754</v>
      </c>
      <c r="D119" s="10">
        <v>13.510000228881836</v>
      </c>
      <c r="E119" s="10">
        <v>13.949999809265137</v>
      </c>
      <c r="F119" s="10">
        <v>2022300</v>
      </c>
      <c r="G119" s="10">
        <v>13.949999809265137</v>
      </c>
      <c r="H119" s="10">
        <v>13.810000419616699</v>
      </c>
      <c r="I119" s="10">
        <v>1.0137536958331417E-2</v>
      </c>
      <c r="J119" s="10">
        <v>1.0086496788435055E-2</v>
      </c>
      <c r="K119" s="10">
        <v>0.43999958038330078</v>
      </c>
      <c r="L119" s="10">
        <v>0.61999988555908203</v>
      </c>
      <c r="M119" s="10">
        <v>0.17000007629394531</v>
      </c>
      <c r="N119" s="10">
        <v>3.2046582649094005E-2</v>
      </c>
      <c r="O119" s="10">
        <v>1.4090919928127568</v>
      </c>
      <c r="P119" s="10">
        <v>0.38636417822456015</v>
      </c>
      <c r="Q119" s="10">
        <v>0.46346357534681709</v>
      </c>
      <c r="R119" s="10">
        <v>0.45972269172717051</v>
      </c>
      <c r="S119" s="10">
        <v>-1.7057967006029726E-2</v>
      </c>
      <c r="T119" s="10">
        <v>-83.030749454918833</v>
      </c>
      <c r="U119" s="10">
        <v>-80.8181583819282</v>
      </c>
      <c r="V119" s="10">
        <v>-51.48090147623995</v>
      </c>
      <c r="W119" s="10">
        <v>44.779669403527031</v>
      </c>
      <c r="X119" s="10">
        <v>-0.84000015258789063</v>
      </c>
      <c r="Y119" s="10">
        <v>0.31555557250976563</v>
      </c>
      <c r="Z119" s="10">
        <v>2022300</v>
      </c>
      <c r="AA119" s="10">
        <v>19641100</v>
      </c>
      <c r="AB119" s="10">
        <v>-78.859015792993475</v>
      </c>
      <c r="AC119" s="10">
        <v>-68.815802314741461</v>
      </c>
      <c r="AD119" s="10">
        <v>23.426707363022484</v>
      </c>
      <c r="AE119" s="10">
        <v>-85.029731027219853</v>
      </c>
      <c r="AF119" s="10">
        <v>-36.112336887190402</v>
      </c>
      <c r="AG119" s="10">
        <v>0.72071436473301476</v>
      </c>
      <c r="AH119" s="10">
        <v>-71.556033770005428</v>
      </c>
      <c r="AI119" s="10">
        <v>-42.405680462554095</v>
      </c>
      <c r="AJ119" s="10">
        <v>14.06000010172526</v>
      </c>
      <c r="AK119" s="10">
        <v>14.601250052452087</v>
      </c>
      <c r="AL119" s="10">
        <v>14.436000013351441</v>
      </c>
      <c r="AM119" s="10">
        <v>0.5014022446699794</v>
      </c>
      <c r="AN119" s="10">
        <v>14.411360077857971</v>
      </c>
      <c r="AO119" s="10">
        <v>15.438804502691399</v>
      </c>
      <c r="AP119" s="10">
        <v>13.433195524011483</v>
      </c>
      <c r="AQ119" s="10">
        <v>-0.10672435224245999</v>
      </c>
      <c r="AR119" s="10">
        <v>3.7046902675253762E-2</v>
      </c>
      <c r="AS119" s="10">
        <v>0.13893107348469011</v>
      </c>
      <c r="AT119" s="10">
        <v>-86.583391028985616</v>
      </c>
      <c r="AU119" s="10">
        <v>-79.442763345744723</v>
      </c>
      <c r="AV119" s="10">
        <v>23.27370987355394</v>
      </c>
      <c r="AW119" s="10">
        <v>44.24989963452331</v>
      </c>
      <c r="AX119" s="10">
        <v>-87.803797183345182</v>
      </c>
      <c r="AY119" s="10">
        <v>-84.21678937443464</v>
      </c>
      <c r="AZ119" s="10">
        <v>14.375366664847437</v>
      </c>
      <c r="BA119" s="10">
        <v>-3.0492248128905754E-2</v>
      </c>
      <c r="BB119" s="10">
        <v>-28.614650149532505</v>
      </c>
      <c r="BC119" s="10">
        <v>14.376158339099151</v>
      </c>
      <c r="BD119" s="10">
        <v>14.226962890452819</v>
      </c>
      <c r="BE119" s="10">
        <v>-1.9853984585987791E-2</v>
      </c>
      <c r="BF119" s="10">
        <v>14.151442225161089</v>
      </c>
      <c r="BG119" s="10">
        <v>14.071196340992767</v>
      </c>
      <c r="BH119" s="10">
        <v>-8.6879235401233074E-3</v>
      </c>
      <c r="BI119" s="10">
        <v>65.350127670629647</v>
      </c>
      <c r="BJ119" s="10">
        <v>13.941359211658346</v>
      </c>
      <c r="BK119" s="10">
        <v>6.1939768637499725E-4</v>
      </c>
      <c r="BL119" s="10">
        <v>0.22471611393806157</v>
      </c>
      <c r="BM119" s="10">
        <v>0.33220345218720171</v>
      </c>
      <c r="BN119" s="10">
        <v>-0.10748733824914014</v>
      </c>
      <c r="BO119" s="10">
        <v>-87.821155215534432</v>
      </c>
      <c r="BP119" s="10">
        <v>-85.981887677450445</v>
      </c>
      <c r="BQ119" s="10">
        <v>1500977.7777777778</v>
      </c>
      <c r="BR119" s="10">
        <v>2142705</v>
      </c>
      <c r="BS119" s="10">
        <v>2091343.5</v>
      </c>
      <c r="BT119">
        <v>0.3473217458249438</v>
      </c>
      <c r="BU119">
        <v>-5.6192989702268825E-2</v>
      </c>
      <c r="BV119" s="10">
        <v>38.970578438680477</v>
      </c>
      <c r="BW119" s="10">
        <v>33.618662813480732</v>
      </c>
      <c r="BX119" s="10">
        <v>33.618662813480732</v>
      </c>
      <c r="BY119" s="10">
        <v>39.828408413625873</v>
      </c>
      <c r="BZ119" s="10">
        <v>-87.932111270077613</v>
      </c>
      <c r="CA119" s="10">
        <v>-82.580674683268867</v>
      </c>
      <c r="CB119" s="10">
        <v>0</v>
      </c>
      <c r="CC119" s="10">
        <v>0</v>
      </c>
      <c r="CD119" s="10">
        <v>0</v>
      </c>
      <c r="CE119" s="10">
        <v>1</v>
      </c>
      <c r="CF119" s="10">
        <v>0</v>
      </c>
      <c r="CG119" s="10">
        <v>1</v>
      </c>
      <c r="CH119" s="10">
        <v>0</v>
      </c>
      <c r="CI119" s="10">
        <v>0</v>
      </c>
      <c r="CJ119" s="10">
        <v>0</v>
      </c>
      <c r="CK119" s="10">
        <v>0</v>
      </c>
      <c r="CL119" s="10">
        <v>0</v>
      </c>
      <c r="CM119" s="10">
        <v>0</v>
      </c>
      <c r="CN119" s="10">
        <v>0</v>
      </c>
      <c r="CO119" s="10">
        <v>0</v>
      </c>
      <c r="CP119" s="10">
        <v>0</v>
      </c>
      <c r="CQ119" s="10">
        <v>0</v>
      </c>
      <c r="CR119" s="10">
        <v>0</v>
      </c>
      <c r="CS119" s="10">
        <v>0</v>
      </c>
      <c r="CT119" s="10">
        <v>0</v>
      </c>
      <c r="CU119" s="10">
        <v>0</v>
      </c>
      <c r="CV119" s="10">
        <v>0</v>
      </c>
      <c r="CW119" s="10">
        <v>0</v>
      </c>
      <c r="CX119" s="10" t="s">
        <v>221</v>
      </c>
      <c r="CY119" s="1" t="str">
        <f>VLOOKUP(bovespa_diario_last_date_1[[#This Row],[Stock]],Patterns!H:J,2,0)</f>
        <v>CDLRICKSHAWMAN_Bull</v>
      </c>
      <c r="CZ119" s="5">
        <f>IF(RIGHT(bovespa_diario_last_date_1[[#This Row],[PATTERN]],4)="Bull",1,IF(RIGHT(bovespa_diario_last_date_1[[#This Row],[PATTERN]],4)="Bear",-1,0))</f>
        <v>1</v>
      </c>
    </row>
    <row r="120" spans="1:104" x14ac:dyDescent="0.25">
      <c r="A120" s="4">
        <v>44491</v>
      </c>
      <c r="B120" s="10">
        <v>8.7799997329711914</v>
      </c>
      <c r="C120" s="10">
        <v>8.2100000381469727</v>
      </c>
      <c r="D120" s="10">
        <v>8.7399997711181641</v>
      </c>
      <c r="E120" s="10">
        <v>8.7100000381469727</v>
      </c>
      <c r="F120" s="10">
        <v>3341500</v>
      </c>
      <c r="G120" s="10">
        <v>8.7100000381469727</v>
      </c>
      <c r="H120" s="10">
        <v>8.8400001525878906</v>
      </c>
      <c r="I120" s="10">
        <v>-1.4705895044906825E-2</v>
      </c>
      <c r="J120" s="10">
        <v>-1.4815098666538695E-2</v>
      </c>
      <c r="K120" s="10">
        <v>2.9999732971191406E-2</v>
      </c>
      <c r="L120" s="10">
        <v>0.5</v>
      </c>
      <c r="M120" s="10">
        <v>3.9999961853027344E-2</v>
      </c>
      <c r="N120" s="10">
        <v>3.4383648480343187E-3</v>
      </c>
      <c r="O120" s="10">
        <v>16.666815017325238</v>
      </c>
      <c r="P120" s="10">
        <v>1.3333439298089456</v>
      </c>
      <c r="Q120" s="10">
        <v>0.36226909829458909</v>
      </c>
      <c r="R120" s="10">
        <v>0.4933029285881057</v>
      </c>
      <c r="S120" s="10">
        <v>2.3229825763171539E-2</v>
      </c>
      <c r="T120" s="10">
        <v>-84.32425313624195</v>
      </c>
      <c r="U120" s="10">
        <v>-73.294499717676217</v>
      </c>
      <c r="V120" s="10">
        <v>64.674703683723877</v>
      </c>
      <c r="W120" s="10">
        <v>-39.497618556127939</v>
      </c>
      <c r="X120" s="10">
        <v>-0.48999977111816406</v>
      </c>
      <c r="Y120" s="10">
        <v>0.16888904571533203</v>
      </c>
      <c r="Z120" s="10">
        <v>-3341500</v>
      </c>
      <c r="AA120" s="10">
        <v>37269800</v>
      </c>
      <c r="AB120" s="10">
        <v>-85.074388821582673</v>
      </c>
      <c r="AC120" s="10">
        <v>58.795451027701979</v>
      </c>
      <c r="AD120" s="10">
        <v>25.532292886114355</v>
      </c>
      <c r="AE120" s="10">
        <v>-74.112272786605999</v>
      </c>
      <c r="AF120" s="10">
        <v>-84.891542627599364</v>
      </c>
      <c r="AG120" s="10">
        <v>0.4142857960292271</v>
      </c>
      <c r="AH120" s="10">
        <v>73.211996658299284</v>
      </c>
      <c r="AI120" s="10">
        <v>57.731017828000844</v>
      </c>
      <c r="AJ120" s="10">
        <v>8.880000114440918</v>
      </c>
      <c r="AK120" s="10">
        <v>9.0962501764297485</v>
      </c>
      <c r="AL120" s="10">
        <v>9.0515000820159912</v>
      </c>
      <c r="AM120" s="10">
        <v>0.32509551056607783</v>
      </c>
      <c r="AN120" s="10">
        <v>9.0443934106826784</v>
      </c>
      <c r="AO120" s="10">
        <v>9.7016911031481463</v>
      </c>
      <c r="AP120" s="10">
        <v>8.4013090608838361</v>
      </c>
      <c r="AQ120" s="10">
        <v>-0.11385660857151421</v>
      </c>
      <c r="AR120" s="10">
        <v>3.5440984605186028E-2</v>
      </c>
      <c r="AS120" s="10">
        <v>0.14366481030563977</v>
      </c>
      <c r="AT120" s="10">
        <v>-75.431942284561899</v>
      </c>
      <c r="AU120" s="10">
        <v>-83.180578575613637</v>
      </c>
      <c r="AV120" s="10">
        <v>20.065718041461992</v>
      </c>
      <c r="AW120" s="10">
        <v>38.016705139988865</v>
      </c>
      <c r="AX120" s="10">
        <v>-87.351740392497959</v>
      </c>
      <c r="AY120" s="10">
        <v>84.478131928824411</v>
      </c>
      <c r="AZ120" s="10">
        <v>8.9972021742535588</v>
      </c>
      <c r="BA120" s="10">
        <v>-3.2973838673792659E-2</v>
      </c>
      <c r="BB120" s="10">
        <v>23.211286362204802</v>
      </c>
      <c r="BC120" s="10">
        <v>9.0359584152733028</v>
      </c>
      <c r="BD120" s="10">
        <v>9.1970479438887125</v>
      </c>
      <c r="BE120" s="10">
        <v>-5.5918243812701274E-2</v>
      </c>
      <c r="BF120" s="10">
        <v>9.3011673603051364</v>
      </c>
      <c r="BG120" s="10">
        <v>9.6784872724336246</v>
      </c>
      <c r="BH120" s="10">
        <v>-0.11119256372502781</v>
      </c>
      <c r="BI120" s="10">
        <v>-74.06532961856999</v>
      </c>
      <c r="BJ120" s="10">
        <v>9.3508344123233975</v>
      </c>
      <c r="BK120" s="10">
        <v>-7.3574554692282246E-2</v>
      </c>
      <c r="BL120" s="10">
        <v>-0.26520894503183357</v>
      </c>
      <c r="BM120" s="10">
        <v>-0.30490140947404465</v>
      </c>
      <c r="BN120" s="10">
        <v>3.9692464442211084E-2</v>
      </c>
      <c r="BO120" s="10">
        <v>-87.153359318276387</v>
      </c>
      <c r="BP120" s="10">
        <v>86.618916773644443</v>
      </c>
      <c r="BQ120" s="10">
        <v>2531133.3333333335</v>
      </c>
      <c r="BR120" s="10">
        <v>2726045</v>
      </c>
      <c r="BS120" s="10">
        <v>2083674.5</v>
      </c>
      <c r="BT120">
        <v>0.32015961229488754</v>
      </c>
      <c r="BU120">
        <v>0.22576846677145834</v>
      </c>
      <c r="BV120" s="10">
        <v>40</v>
      </c>
      <c r="BW120" s="10">
        <v>52.268904195767767</v>
      </c>
      <c r="BX120" s="10">
        <v>52.268904195767767</v>
      </c>
      <c r="BY120" s="10">
        <v>61.994186143656556</v>
      </c>
      <c r="BZ120" s="10">
        <v>-77.479226028313334</v>
      </c>
      <c r="CA120" s="10">
        <v>86.157353243542474</v>
      </c>
      <c r="CB120" s="10">
        <v>1</v>
      </c>
      <c r="CC120" s="10">
        <v>0</v>
      </c>
      <c r="CD120" s="10">
        <v>1</v>
      </c>
      <c r="CE120" s="10">
        <v>0</v>
      </c>
      <c r="CF120" s="10">
        <v>0</v>
      </c>
      <c r="CG120" s="10">
        <v>0</v>
      </c>
      <c r="CH120" s="10">
        <v>0</v>
      </c>
      <c r="CI120" s="10">
        <v>0</v>
      </c>
      <c r="CJ120" s="10">
        <v>0</v>
      </c>
      <c r="CK120" s="10">
        <v>-1</v>
      </c>
      <c r="CL120" s="10">
        <v>0</v>
      </c>
      <c r="CM120" s="10">
        <v>-1</v>
      </c>
      <c r="CN120" s="10">
        <v>0</v>
      </c>
      <c r="CO120" s="10">
        <v>0</v>
      </c>
      <c r="CP120" s="10">
        <v>0</v>
      </c>
      <c r="CQ120" s="10">
        <v>0</v>
      </c>
      <c r="CR120" s="10">
        <v>0</v>
      </c>
      <c r="CS120" s="10">
        <v>0</v>
      </c>
      <c r="CT120" s="10">
        <v>0</v>
      </c>
      <c r="CU120" s="10">
        <v>0</v>
      </c>
      <c r="CV120" s="10">
        <v>0</v>
      </c>
      <c r="CW120" s="10">
        <v>0</v>
      </c>
      <c r="CX120" s="10" t="s">
        <v>222</v>
      </c>
      <c r="CY120" s="1" t="str">
        <f>VLOOKUP(bovespa_diario_last_date_1[[#This Row],[Stock]],Patterns!H:J,2,0)</f>
        <v>CDLSPINNINGTOP_Bear</v>
      </c>
      <c r="CZ120" s="5">
        <f>IF(RIGHT(bovespa_diario_last_date_1[[#This Row],[PATTERN]],4)="Bull",1,IF(RIGHT(bovespa_diario_last_date_1[[#This Row],[PATTERN]],4)="Bear",-1,0))</f>
        <v>-1</v>
      </c>
    </row>
    <row r="121" spans="1:104" x14ac:dyDescent="0.25">
      <c r="A121" s="4">
        <v>44491</v>
      </c>
      <c r="B121" s="10">
        <v>5.4499998092651367</v>
      </c>
      <c r="C121" s="10">
        <v>5.0199999809265137</v>
      </c>
      <c r="D121" s="10">
        <v>5.4499998092651367</v>
      </c>
      <c r="E121" s="10">
        <v>5.3000001907348633</v>
      </c>
      <c r="F121" s="10">
        <v>2107300</v>
      </c>
      <c r="G121" s="10">
        <v>5.3000001907348633</v>
      </c>
      <c r="H121" s="10">
        <v>5.440000057220459</v>
      </c>
      <c r="I121" s="10">
        <v>-2.5735269303862496E-2</v>
      </c>
      <c r="J121" s="10">
        <v>-2.6072214840532411E-2</v>
      </c>
      <c r="K121" s="10">
        <v>0.14999961853027344</v>
      </c>
      <c r="L121" s="10">
        <v>0.28000020980834961</v>
      </c>
      <c r="M121" s="10">
        <v>0</v>
      </c>
      <c r="N121" s="10">
        <v>2.7906905773074128E-2</v>
      </c>
      <c r="O121" s="10">
        <v>1.8666728125834466</v>
      </c>
      <c r="P121" s="10">
        <v>0</v>
      </c>
      <c r="Q121" s="10">
        <v>0.51201295943521652</v>
      </c>
      <c r="R121" s="10">
        <v>0.63218314138282816</v>
      </c>
      <c r="S121" s="10">
        <v>-8.3230657898443527E-2</v>
      </c>
      <c r="T121" s="10">
        <v>-79.952902841853927</v>
      </c>
      <c r="U121" s="10">
        <v>-70.062312227022289</v>
      </c>
      <c r="V121" s="10">
        <v>-23.602921827197139</v>
      </c>
      <c r="W121" s="10">
        <v>-26.979430048845675</v>
      </c>
      <c r="X121" s="10">
        <v>-0.83999967575073242</v>
      </c>
      <c r="Y121" s="10">
        <v>4.6666675143771701E-2</v>
      </c>
      <c r="Z121" s="10">
        <v>-2107300</v>
      </c>
      <c r="AA121" s="10">
        <v>-47682660</v>
      </c>
      <c r="AB121" s="10">
        <v>-80.520628038183617</v>
      </c>
      <c r="AC121" s="10">
        <v>26.914198951943415</v>
      </c>
      <c r="AD121" s="10">
        <v>22.161894183518402</v>
      </c>
      <c r="AE121" s="10">
        <v>68.113495567005799</v>
      </c>
      <c r="AF121" s="10">
        <v>-84.198031635422595</v>
      </c>
      <c r="AG121" s="10">
        <v>0.34571426255362375</v>
      </c>
      <c r="AH121" s="10">
        <v>43.152686865734289</v>
      </c>
      <c r="AI121" s="10">
        <v>45.427822964145527</v>
      </c>
      <c r="AJ121" s="10">
        <v>5.5366667111714678</v>
      </c>
      <c r="AK121" s="10">
        <v>5.9462500214576721</v>
      </c>
      <c r="AL121" s="10">
        <v>5.9985000133514408</v>
      </c>
      <c r="AM121" s="10">
        <v>0.31145283852645744</v>
      </c>
      <c r="AN121" s="10">
        <v>8.3562078404426572</v>
      </c>
      <c r="AO121" s="10">
        <v>6.6214056904043552</v>
      </c>
      <c r="AP121" s="10">
        <v>5.3755943362985263</v>
      </c>
      <c r="AQ121" s="10">
        <v>-0.24932178341795014</v>
      </c>
      <c r="AR121" s="10">
        <v>-1.4263045819472258E-2</v>
      </c>
      <c r="AS121" s="10">
        <v>0.20768714700890326</v>
      </c>
      <c r="AT121" s="10">
        <v>59.364738405455419</v>
      </c>
      <c r="AU121" s="10">
        <v>23.480012660512802</v>
      </c>
      <c r="AV121" s="10">
        <v>7.9674099890490453</v>
      </c>
      <c r="AW121" s="10">
        <v>29.657482444387057</v>
      </c>
      <c r="AX121" s="10">
        <v>-88.389509718778996</v>
      </c>
      <c r="AY121" s="10">
        <v>-4.073165938407544</v>
      </c>
      <c r="AZ121" s="10">
        <v>5.8142206285673552</v>
      </c>
      <c r="BA121" s="10">
        <v>-9.7022720627712569E-2</v>
      </c>
      <c r="BB121" s="10">
        <v>-31.111798302792199</v>
      </c>
      <c r="BC121" s="10">
        <v>5.8814775196978468</v>
      </c>
      <c r="BD121" s="10">
        <v>6.0375119065530951</v>
      </c>
      <c r="BE121" s="10">
        <v>-0.13915314892016509</v>
      </c>
      <c r="BF121" s="10">
        <v>6.1216800997795318</v>
      </c>
      <c r="BG121" s="10">
        <v>6.5264655696577485</v>
      </c>
      <c r="BH121" s="10">
        <v>-0.2314085537330578</v>
      </c>
      <c r="BI121" s="10">
        <v>-36.731505834763063</v>
      </c>
      <c r="BJ121" s="10">
        <v>8.3966295457137878</v>
      </c>
      <c r="BK121" s="10">
        <v>-0.58426966859213758</v>
      </c>
      <c r="BL121" s="10">
        <v>-0.24020258008168494</v>
      </c>
      <c r="BM121" s="10">
        <v>-0.20553768038256828</v>
      </c>
      <c r="BN121" s="10">
        <v>-3.4664899699116652E-2</v>
      </c>
      <c r="BO121" s="10">
        <v>-82.649467413958249</v>
      </c>
      <c r="BP121" s="10">
        <v>38.821768838952956</v>
      </c>
      <c r="BQ121" s="10">
        <v>1505288.888888889</v>
      </c>
      <c r="BR121" s="10">
        <v>1477910</v>
      </c>
      <c r="BS121" s="10">
        <v>1785763</v>
      </c>
      <c r="BT121">
        <v>0.39993061501668192</v>
      </c>
      <c r="BU121">
        <v>0.42586490381687647</v>
      </c>
      <c r="BV121" s="10">
        <v>19.04763603890343</v>
      </c>
      <c r="BW121" s="10">
        <v>21.894092068768568</v>
      </c>
      <c r="BX121" s="10">
        <v>21.894092068768568</v>
      </c>
      <c r="BY121" s="10">
        <v>36.411284833382581</v>
      </c>
      <c r="BZ121" s="10">
        <v>-88.587662748154017</v>
      </c>
      <c r="CA121" s="10">
        <v>87.098465692464202</v>
      </c>
      <c r="CB121" s="10">
        <v>0</v>
      </c>
      <c r="CC121" s="10">
        <v>0</v>
      </c>
      <c r="CD121" s="10">
        <v>0</v>
      </c>
      <c r="CE121" s="10">
        <v>0</v>
      </c>
      <c r="CF121" s="10">
        <v>0</v>
      </c>
      <c r="CG121" s="10">
        <v>0</v>
      </c>
      <c r="CH121" s="10">
        <v>0</v>
      </c>
      <c r="CI121" s="10">
        <v>0</v>
      </c>
      <c r="CJ121" s="10">
        <v>0</v>
      </c>
      <c r="CK121" s="10">
        <v>0</v>
      </c>
      <c r="CL121" s="10">
        <v>0</v>
      </c>
      <c r="CM121" s="10">
        <v>0</v>
      </c>
      <c r="CN121" s="10">
        <v>0</v>
      </c>
      <c r="CO121" s="10">
        <v>0</v>
      </c>
      <c r="CP121" s="10">
        <v>0</v>
      </c>
      <c r="CQ121" s="10">
        <v>0</v>
      </c>
      <c r="CR121" s="10">
        <v>0</v>
      </c>
      <c r="CS121" s="10">
        <v>0</v>
      </c>
      <c r="CT121" s="10">
        <v>0</v>
      </c>
      <c r="CU121" s="10">
        <v>0</v>
      </c>
      <c r="CV121" s="10">
        <v>0</v>
      </c>
      <c r="CW121" s="10">
        <v>0</v>
      </c>
      <c r="CX121" s="10" t="s">
        <v>223</v>
      </c>
      <c r="CY121" s="1" t="str">
        <f>VLOOKUP(bovespa_diario_last_date_1[[#This Row],[Stock]],Patterns!H:J,2,0)</f>
        <v>CDLCLOSINGMARUBOZU_Bull</v>
      </c>
      <c r="CZ121" s="5">
        <f>IF(RIGHT(bovespa_diario_last_date_1[[#This Row],[PATTERN]],4)="Bull",1,IF(RIGHT(bovespa_diario_last_date_1[[#This Row],[PATTERN]],4)="Bear",-1,0))</f>
        <v>1</v>
      </c>
    </row>
    <row r="122" spans="1:104" x14ac:dyDescent="0.25">
      <c r="A122" s="4">
        <v>44491</v>
      </c>
      <c r="B122" s="10">
        <v>42.700000762939453</v>
      </c>
      <c r="C122" s="10">
        <v>37.560001373291016</v>
      </c>
      <c r="D122" s="10">
        <v>42.700000762939453</v>
      </c>
      <c r="E122" s="10">
        <v>38.330001831054688</v>
      </c>
      <c r="F122" s="10">
        <v>1904200</v>
      </c>
      <c r="G122" s="10">
        <v>38.330001831054688</v>
      </c>
      <c r="H122" s="10">
        <v>42.939998626708984</v>
      </c>
      <c r="I122" s="10">
        <v>-0.10735903453864681</v>
      </c>
      <c r="J122" s="10">
        <v>-0.11357083330574798</v>
      </c>
      <c r="K122" s="10">
        <v>4.3699989318847656</v>
      </c>
      <c r="L122" s="10">
        <v>0.77000045776367188</v>
      </c>
      <c r="M122" s="10">
        <v>0</v>
      </c>
      <c r="N122" s="10">
        <v>0.10786125612708954</v>
      </c>
      <c r="O122" s="10">
        <v>0.17620152081629303</v>
      </c>
      <c r="P122" s="10">
        <v>0</v>
      </c>
      <c r="Q122" s="10">
        <v>0.46304548435348392</v>
      </c>
      <c r="R122" s="10">
        <v>0.68879212425884118</v>
      </c>
      <c r="S122" s="10">
        <v>3.8021334765048057E-2</v>
      </c>
      <c r="T122" s="10">
        <v>-82.924641243664709</v>
      </c>
      <c r="U122" s="10">
        <v>78.709109399139763</v>
      </c>
      <c r="V122" s="10">
        <v>81.187960133255046</v>
      </c>
      <c r="W122" s="10">
        <v>70.863552860097656</v>
      </c>
      <c r="X122" s="10">
        <v>0.70000076293945313</v>
      </c>
      <c r="Y122" s="10">
        <v>3.1422220865885415</v>
      </c>
      <c r="Z122" s="10">
        <v>-1904200</v>
      </c>
      <c r="AA122" s="10">
        <v>25603700</v>
      </c>
      <c r="AB122" s="10">
        <v>-81.359638190776323</v>
      </c>
      <c r="AC122" s="10">
        <v>63.607638868949927</v>
      </c>
      <c r="AD122" s="10">
        <v>19.169409008329062</v>
      </c>
      <c r="AE122" s="10">
        <v>81.455735561014222</v>
      </c>
      <c r="AF122" s="10">
        <v>43.532110960063498</v>
      </c>
      <c r="AG122" s="10">
        <v>1.9485716138567244</v>
      </c>
      <c r="AH122" s="10">
        <v>84.775673074179736</v>
      </c>
      <c r="AI122" s="10">
        <v>-69.959605578993262</v>
      </c>
      <c r="AJ122" s="10">
        <v>41.546666463216148</v>
      </c>
      <c r="AK122" s="10">
        <v>40.84499979019165</v>
      </c>
      <c r="AL122" s="10">
        <v>39.10299987792969</v>
      </c>
      <c r="AM122" s="10">
        <v>2.0662934385485663</v>
      </c>
      <c r="AN122" s="10">
        <v>28.645000162124635</v>
      </c>
      <c r="AO122" s="10">
        <v>43.235586755026823</v>
      </c>
      <c r="AP122" s="10">
        <v>34.970413000832558</v>
      </c>
      <c r="AQ122" s="10">
        <v>-0.12798290346017324</v>
      </c>
      <c r="AR122" s="10">
        <v>8.76490652160683E-2</v>
      </c>
      <c r="AS122" s="10">
        <v>0.21136930107654608</v>
      </c>
      <c r="AT122" s="10">
        <v>81.930496828379631</v>
      </c>
      <c r="AU122" s="10">
        <v>76.644564755692642</v>
      </c>
      <c r="AV122" s="10">
        <v>22.449694130870995</v>
      </c>
      <c r="AW122" s="10">
        <v>45.05623403033173</v>
      </c>
      <c r="AX122" s="10">
        <v>-87.639851787742131</v>
      </c>
      <c r="AY122" s="10">
        <v>83.803208661071807</v>
      </c>
      <c r="AZ122" s="10">
        <v>40.422819658246809</v>
      </c>
      <c r="BA122" s="10">
        <v>-5.4599992883291114E-2</v>
      </c>
      <c r="BB122" s="10">
        <v>82.052330682793368</v>
      </c>
      <c r="BC122" s="10">
        <v>40.116177546243591</v>
      </c>
      <c r="BD122" s="10">
        <v>39.417270513160439</v>
      </c>
      <c r="BE122" s="10">
        <v>-2.8365996090948635E-2</v>
      </c>
      <c r="BF122" s="10">
        <v>39.104607474475671</v>
      </c>
      <c r="BG122" s="10">
        <v>37.720132254980015</v>
      </c>
      <c r="BH122" s="10">
        <v>1.591102392227282E-2</v>
      </c>
      <c r="BI122" s="10">
        <v>67.890608116070368</v>
      </c>
      <c r="BJ122" s="10">
        <v>30.726768002595069</v>
      </c>
      <c r="BK122" s="10">
        <v>0.19836246974294516</v>
      </c>
      <c r="BL122" s="10">
        <v>1.0115700717679204</v>
      </c>
      <c r="BM122" s="10">
        <v>0.81419291839679009</v>
      </c>
      <c r="BN122" s="10">
        <v>0.19737715337113027</v>
      </c>
      <c r="BO122" s="10">
        <v>-51.003561105908432</v>
      </c>
      <c r="BP122" s="10">
        <v>86.906127310193881</v>
      </c>
      <c r="BQ122" s="10">
        <v>966611.11111111112</v>
      </c>
      <c r="BR122" s="10">
        <v>712345</v>
      </c>
      <c r="BS122" s="10">
        <v>614826.5</v>
      </c>
      <c r="BT122">
        <v>0.96997528593597337</v>
      </c>
      <c r="BU122">
        <v>1.6731429293390141</v>
      </c>
      <c r="BV122" s="10">
        <v>34.922532995542397</v>
      </c>
      <c r="BW122" s="10">
        <v>73.261804344360016</v>
      </c>
      <c r="BX122" s="10">
        <v>73.261804344360016</v>
      </c>
      <c r="BY122" s="10">
        <v>85.742630595862309</v>
      </c>
      <c r="BZ122" s="10">
        <v>84.31579178753482</v>
      </c>
      <c r="CA122" s="10">
        <v>86.314007798725811</v>
      </c>
      <c r="CB122" s="10">
        <v>1</v>
      </c>
      <c r="CC122" s="10">
        <v>0</v>
      </c>
      <c r="CD122" s="10">
        <v>1</v>
      </c>
      <c r="CE122" s="10">
        <v>0</v>
      </c>
      <c r="CF122" s="10">
        <v>0</v>
      </c>
      <c r="CG122" s="10">
        <v>0</v>
      </c>
      <c r="CH122" s="10">
        <v>0</v>
      </c>
      <c r="CI122" s="10">
        <v>0</v>
      </c>
      <c r="CJ122" s="10">
        <v>0</v>
      </c>
      <c r="CK122" s="10">
        <v>-1</v>
      </c>
      <c r="CL122" s="10">
        <v>0</v>
      </c>
      <c r="CM122" s="10">
        <v>-1</v>
      </c>
      <c r="CN122" s="10">
        <v>0</v>
      </c>
      <c r="CO122" s="10">
        <v>0</v>
      </c>
      <c r="CP122" s="10">
        <v>0</v>
      </c>
      <c r="CQ122" s="10">
        <v>0</v>
      </c>
      <c r="CR122" s="10">
        <v>0</v>
      </c>
      <c r="CS122" s="10">
        <v>0</v>
      </c>
      <c r="CT122" s="10">
        <v>0</v>
      </c>
      <c r="CU122" s="10">
        <v>0</v>
      </c>
      <c r="CV122" s="10">
        <v>0</v>
      </c>
      <c r="CW122" s="10">
        <v>0</v>
      </c>
      <c r="CX122" s="10" t="s">
        <v>224</v>
      </c>
      <c r="CY122" s="1" t="str">
        <f>VLOOKUP(bovespa_diario_last_date_1[[#This Row],[Stock]],Patterns!H:J,2,0)</f>
        <v>CDLHIKKAKEMOD_Bull</v>
      </c>
      <c r="CZ122" s="5">
        <f>IF(RIGHT(bovespa_diario_last_date_1[[#This Row],[PATTERN]],4)="Bull",1,IF(RIGHT(bovespa_diario_last_date_1[[#This Row],[PATTERN]],4)="Bear",-1,0))</f>
        <v>1</v>
      </c>
    </row>
    <row r="123" spans="1:104" x14ac:dyDescent="0.25">
      <c r="A123" s="4">
        <v>44491</v>
      </c>
      <c r="B123" s="10">
        <v>26.069999694824219</v>
      </c>
      <c r="C123" s="10">
        <v>23.399999618530273</v>
      </c>
      <c r="D123" s="10">
        <v>25.219999313354492</v>
      </c>
      <c r="E123" s="10">
        <v>26.069999694824219</v>
      </c>
      <c r="F123" s="10">
        <v>2147900</v>
      </c>
      <c r="G123" s="10">
        <v>26.069999694824219</v>
      </c>
      <c r="H123" s="10">
        <v>25.239999771118164</v>
      </c>
      <c r="I123" s="10">
        <v>3.288430789352903E-2</v>
      </c>
      <c r="J123" s="10">
        <v>3.2355187634602503E-2</v>
      </c>
      <c r="K123" s="10">
        <v>0.85000038146972656</v>
      </c>
      <c r="L123" s="10">
        <v>1.8199996948242188</v>
      </c>
      <c r="M123" s="10">
        <v>0</v>
      </c>
      <c r="N123" s="10">
        <v>3.3144878062258701E-2</v>
      </c>
      <c r="O123" s="10">
        <v>2.1411751506243757</v>
      </c>
      <c r="P123" s="10">
        <v>0</v>
      </c>
      <c r="Q123" s="10">
        <v>0.44402262396559627</v>
      </c>
      <c r="R123" s="10">
        <v>0.62740012938767742</v>
      </c>
      <c r="S123" s="10">
        <v>-2.4627106731237344E-2</v>
      </c>
      <c r="T123" s="10">
        <v>-87.148459929352427</v>
      </c>
      <c r="U123" s="10">
        <v>-83.382247227091881</v>
      </c>
      <c r="V123" s="10">
        <v>-16.455349149997062</v>
      </c>
      <c r="W123" s="10">
        <v>7.5219612915948506</v>
      </c>
      <c r="X123" s="10">
        <v>-3.0699996948242188</v>
      </c>
      <c r="Y123" s="10">
        <v>0.73111110263400603</v>
      </c>
      <c r="Z123" s="10">
        <v>2147900</v>
      </c>
      <c r="AA123" s="10">
        <v>6003600</v>
      </c>
      <c r="AB123" s="10">
        <v>-84.04804795616316</v>
      </c>
      <c r="AC123" s="10">
        <v>-49.329200559375906</v>
      </c>
      <c r="AD123" s="10">
        <v>23.912188029279172</v>
      </c>
      <c r="AE123" s="10">
        <v>-76.785454103425636</v>
      </c>
      <c r="AF123" s="10">
        <v>-82.834124462035859</v>
      </c>
      <c r="AG123" s="10">
        <v>1.5928569521222795</v>
      </c>
      <c r="AH123" s="10">
        <v>83.750546722312194</v>
      </c>
      <c r="AI123" s="10">
        <v>79.874339372694294</v>
      </c>
      <c r="AJ123" s="10">
        <v>26.209999720255535</v>
      </c>
      <c r="AK123" s="10">
        <v>28.003749847412109</v>
      </c>
      <c r="AL123" s="10">
        <v>27.646999740600585</v>
      </c>
      <c r="AM123" s="10">
        <v>1.2271322789863899</v>
      </c>
      <c r="AN123" s="10">
        <v>28.516902751922608</v>
      </c>
      <c r="AO123" s="10">
        <v>30.101264298573366</v>
      </c>
      <c r="AP123" s="10">
        <v>25.192735182627803</v>
      </c>
      <c r="AQ123" s="10">
        <v>-0.15463232262904436</v>
      </c>
      <c r="AR123" s="10">
        <v>3.365034608614062E-2</v>
      </c>
      <c r="AS123" s="10">
        <v>0.17754292190834783</v>
      </c>
      <c r="AT123" s="10">
        <v>76.452330038798294</v>
      </c>
      <c r="AU123" s="10">
        <v>74.141090717565334</v>
      </c>
      <c r="AV123" s="10">
        <v>32.802845520683817</v>
      </c>
      <c r="AW123" s="10">
        <v>40.16569963923363</v>
      </c>
      <c r="AX123" s="10">
        <v>-88.387189776765567</v>
      </c>
      <c r="AY123" s="10">
        <v>29.145332136006328</v>
      </c>
      <c r="AZ123" s="10">
        <v>27.338625423946549</v>
      </c>
      <c r="BA123" s="10">
        <v>-4.8662284003562761E-2</v>
      </c>
      <c r="BB123" s="10">
        <v>-31.944530309703225</v>
      </c>
      <c r="BC123" s="10">
        <v>27.493922247839674</v>
      </c>
      <c r="BD123" s="10">
        <v>27.759014286673764</v>
      </c>
      <c r="BE123" s="10">
        <v>-6.4787672099009361E-2</v>
      </c>
      <c r="BF123" s="10">
        <v>27.917949724045577</v>
      </c>
      <c r="BG123" s="10">
        <v>28.76495639159576</v>
      </c>
      <c r="BH123" s="10">
        <v>-0.10337386759949145</v>
      </c>
      <c r="BI123" s="10">
        <v>-46.446953067017411</v>
      </c>
      <c r="BJ123" s="10">
        <v>28.896093576130628</v>
      </c>
      <c r="BK123" s="10">
        <v>-0.10840406269231699</v>
      </c>
      <c r="BL123" s="10">
        <v>-0.42402747620590375</v>
      </c>
      <c r="BM123" s="10">
        <v>-0.28252581253750902</v>
      </c>
      <c r="BN123" s="10">
        <v>-0.14150166366839473</v>
      </c>
      <c r="BO123" s="10">
        <v>-87.871619091857468</v>
      </c>
      <c r="BP123" s="10">
        <v>-16.462220488443158</v>
      </c>
      <c r="BQ123" s="10">
        <v>635555.5555555555</v>
      </c>
      <c r="BR123" s="10">
        <v>421645</v>
      </c>
      <c r="BS123" s="10">
        <v>318740</v>
      </c>
      <c r="BT123">
        <v>2.3795629370629374</v>
      </c>
      <c r="BU123">
        <v>4.0940957440500894</v>
      </c>
      <c r="BV123" s="10">
        <v>39.55555668583623</v>
      </c>
      <c r="BW123" s="10">
        <v>27.4165869596393</v>
      </c>
      <c r="BX123" s="10">
        <v>27.4165869596393</v>
      </c>
      <c r="BY123" s="10">
        <v>39.433321131622513</v>
      </c>
      <c r="BZ123" s="10">
        <v>-88.912641331423231</v>
      </c>
      <c r="CA123" s="10">
        <v>86.118497512589983</v>
      </c>
      <c r="CB123" s="10">
        <v>0</v>
      </c>
      <c r="CC123" s="10">
        <v>0</v>
      </c>
      <c r="CD123" s="10">
        <v>0</v>
      </c>
      <c r="CE123" s="10">
        <v>0</v>
      </c>
      <c r="CF123" s="10">
        <v>0</v>
      </c>
      <c r="CG123" s="10">
        <v>0</v>
      </c>
      <c r="CH123" s="10">
        <v>0</v>
      </c>
      <c r="CI123" s="10">
        <v>0</v>
      </c>
      <c r="CJ123" s="10">
        <v>0</v>
      </c>
      <c r="CK123" s="10">
        <v>0</v>
      </c>
      <c r="CL123" s="10">
        <v>0</v>
      </c>
      <c r="CM123" s="10">
        <v>0</v>
      </c>
      <c r="CN123" s="10">
        <v>0</v>
      </c>
      <c r="CO123" s="10">
        <v>0</v>
      </c>
      <c r="CP123" s="10">
        <v>0</v>
      </c>
      <c r="CQ123" s="10">
        <v>0</v>
      </c>
      <c r="CR123" s="10">
        <v>0</v>
      </c>
      <c r="CS123" s="10">
        <v>0</v>
      </c>
      <c r="CT123" s="10">
        <v>0</v>
      </c>
      <c r="CU123" s="10">
        <v>0</v>
      </c>
      <c r="CV123" s="10">
        <v>0</v>
      </c>
      <c r="CW123" s="10">
        <v>0</v>
      </c>
      <c r="CX123" s="10" t="s">
        <v>225</v>
      </c>
      <c r="CY123" s="1" t="str">
        <f>VLOOKUP(bovespa_diario_last_date_1[[#This Row],[Stock]],Patterns!H:J,2,0)</f>
        <v>CDLRICKSHAWMAN_Bull</v>
      </c>
      <c r="CZ123" s="5">
        <f>IF(RIGHT(bovespa_diario_last_date_1[[#This Row],[PATTERN]],4)="Bull",1,IF(RIGHT(bovespa_diario_last_date_1[[#This Row],[PATTERN]],4)="Bear",-1,0))</f>
        <v>1</v>
      </c>
    </row>
    <row r="124" spans="1:104" x14ac:dyDescent="0.25">
      <c r="A124" s="4">
        <v>44491</v>
      </c>
      <c r="B124" s="10">
        <v>13.329999923706055</v>
      </c>
      <c r="C124" s="10">
        <v>12.5</v>
      </c>
      <c r="D124" s="10">
        <v>13.100000381469727</v>
      </c>
      <c r="E124" s="10">
        <v>12.939999580383301</v>
      </c>
      <c r="F124" s="10">
        <v>6217000</v>
      </c>
      <c r="G124" s="10">
        <v>12.939999580383301</v>
      </c>
      <c r="H124" s="10">
        <v>13.399999618530273</v>
      </c>
      <c r="I124" s="10">
        <v>-3.432836203300027E-2</v>
      </c>
      <c r="J124" s="10">
        <v>-3.4931421844096013E-2</v>
      </c>
      <c r="K124" s="10">
        <v>0.16000080108642578</v>
      </c>
      <c r="L124" s="10">
        <v>0.43999958038330078</v>
      </c>
      <c r="M124" s="10">
        <v>0.22999954223632813</v>
      </c>
      <c r="N124" s="10">
        <v>1.2288848027712516E-2</v>
      </c>
      <c r="O124" s="10">
        <v>2.749983608804754</v>
      </c>
      <c r="P124" s="10">
        <v>1.4374899417665536</v>
      </c>
      <c r="Q124" s="10">
        <v>0.39720470358770521</v>
      </c>
      <c r="R124" s="10">
        <v>0.42002429292405169</v>
      </c>
      <c r="S124" s="10">
        <v>-0.19715184230781277</v>
      </c>
      <c r="T124" s="10">
        <v>-86.124730676816796</v>
      </c>
      <c r="U124" s="10">
        <v>-82.58349138042216</v>
      </c>
      <c r="V124" s="10">
        <v>-78.47525051560244</v>
      </c>
      <c r="W124" s="10">
        <v>-77.354763507693193</v>
      </c>
      <c r="X124" s="10">
        <v>-3.0600004196166992</v>
      </c>
      <c r="Y124" s="10">
        <v>-1.523333231608073</v>
      </c>
      <c r="Z124" s="10">
        <v>-6217000</v>
      </c>
      <c r="AA124" s="10">
        <v>27485300</v>
      </c>
      <c r="AB124" s="10">
        <v>-86.134727420330265</v>
      </c>
      <c r="AC124" s="10">
        <v>-79.611378192526487</v>
      </c>
      <c r="AD124" s="10">
        <v>51.209912797073407</v>
      </c>
      <c r="AE124" s="10">
        <v>84.012454746036383</v>
      </c>
      <c r="AF124" s="10">
        <v>78.124118693336499</v>
      </c>
      <c r="AG124" s="10">
        <v>0.76714290891374859</v>
      </c>
      <c r="AH124" s="10">
        <v>83.396447175288728</v>
      </c>
      <c r="AI124" s="10">
        <v>27.057596132908461</v>
      </c>
      <c r="AJ124" s="10">
        <v>13.609999656677246</v>
      </c>
      <c r="AK124" s="10">
        <v>14.637499809265137</v>
      </c>
      <c r="AL124" s="10">
        <v>15.696999835968018</v>
      </c>
      <c r="AM124" s="10">
        <v>1.1728333203230659</v>
      </c>
      <c r="AN124" s="10">
        <v>18.87690912246704</v>
      </c>
      <c r="AO124" s="10">
        <v>18.042666476614151</v>
      </c>
      <c r="AP124" s="10">
        <v>13.351333195321887</v>
      </c>
      <c r="AQ124" s="10">
        <v>-0.39433284866302154</v>
      </c>
      <c r="AR124" s="10">
        <v>-3.1787761072431343E-2</v>
      </c>
      <c r="AS124" s="10">
        <v>0.29886814871097656</v>
      </c>
      <c r="AT124" s="10">
        <v>85.742698440403927</v>
      </c>
      <c r="AU124" s="10">
        <v>73.140038714445652</v>
      </c>
      <c r="AV124" s="10">
        <v>3.3834791819666492</v>
      </c>
      <c r="AW124" s="10">
        <v>15.701682623427047</v>
      </c>
      <c r="AX124" s="10">
        <v>-86.246583872194279</v>
      </c>
      <c r="AY124" s="10">
        <v>-69.411943723374705</v>
      </c>
      <c r="AZ124" s="10">
        <v>14.530776278546011</v>
      </c>
      <c r="BA124" s="10">
        <v>-0.12293483382907411</v>
      </c>
      <c r="BB124" s="10">
        <v>-78.823698385535025</v>
      </c>
      <c r="BC124" s="10">
        <v>14.862951226377886</v>
      </c>
      <c r="BD124" s="10">
        <v>15.680531016650754</v>
      </c>
      <c r="BE124" s="10">
        <v>-0.21178759854227713</v>
      </c>
      <c r="BF124" s="10">
        <v>16.073095119406794</v>
      </c>
      <c r="BG124" s="10">
        <v>17.49887587549205</v>
      </c>
      <c r="BH124" s="10">
        <v>-0.35230884412236663</v>
      </c>
      <c r="BI124" s="10">
        <v>-75.759145692920185</v>
      </c>
      <c r="BJ124" s="10">
        <v>18.394136616433656</v>
      </c>
      <c r="BK124" s="10">
        <v>-0.42149437503218184</v>
      </c>
      <c r="BL124" s="10">
        <v>-1.2101438930289081</v>
      </c>
      <c r="BM124" s="10">
        <v>-1.050141133725448</v>
      </c>
      <c r="BN124" s="10">
        <v>-0.16000275930346008</v>
      </c>
      <c r="BO124" s="10">
        <v>-86.443078092302969</v>
      </c>
      <c r="BP124" s="10">
        <v>9.2223543864996227</v>
      </c>
      <c r="BQ124" s="10">
        <v>3708622.222222222</v>
      </c>
      <c r="BR124" s="10">
        <v>2624935</v>
      </c>
      <c r="BS124" s="10">
        <v>1893311.5</v>
      </c>
      <c r="BT124">
        <v>0.67636378888835647</v>
      </c>
      <c r="BU124">
        <v>1.3684395994567486</v>
      </c>
      <c r="BV124" s="10">
        <v>10.045654444972328</v>
      </c>
      <c r="BW124" s="10">
        <v>7.4791795014091891</v>
      </c>
      <c r="BX124" s="10">
        <v>7.4791795014091891</v>
      </c>
      <c r="BY124" s="10">
        <v>9.5418193665842441</v>
      </c>
      <c r="BZ124" s="10">
        <v>-78.217476993713717</v>
      </c>
      <c r="CA124" s="10">
        <v>23.694197923277191</v>
      </c>
      <c r="CB124" s="10">
        <v>0</v>
      </c>
      <c r="CC124" s="10">
        <v>0</v>
      </c>
      <c r="CD124" s="10">
        <v>0</v>
      </c>
      <c r="CE124" s="10">
        <v>0</v>
      </c>
      <c r="CF124" s="10">
        <v>0</v>
      </c>
      <c r="CG124" s="10">
        <v>0</v>
      </c>
      <c r="CH124" s="10">
        <v>0</v>
      </c>
      <c r="CI124" s="10">
        <v>0</v>
      </c>
      <c r="CJ124" s="10">
        <v>0</v>
      </c>
      <c r="CK124" s="10">
        <v>0</v>
      </c>
      <c r="CL124" s="10">
        <v>0</v>
      </c>
      <c r="CM124" s="10">
        <v>0</v>
      </c>
      <c r="CN124" s="10">
        <v>0</v>
      </c>
      <c r="CO124" s="10">
        <v>0</v>
      </c>
      <c r="CP124" s="10">
        <v>0</v>
      </c>
      <c r="CQ124" s="10">
        <v>0</v>
      </c>
      <c r="CR124" s="10">
        <v>0</v>
      </c>
      <c r="CS124" s="10">
        <v>0</v>
      </c>
      <c r="CT124" s="10">
        <v>0</v>
      </c>
      <c r="CU124" s="10">
        <v>0</v>
      </c>
      <c r="CV124" s="10">
        <v>0</v>
      </c>
      <c r="CW124" s="10">
        <v>0</v>
      </c>
      <c r="CX124" s="10" t="s">
        <v>226</v>
      </c>
      <c r="CY124" s="1" t="str">
        <f>VLOOKUP(bovespa_diario_last_date_1[[#This Row],[Stock]],Patterns!H:J,2,0)</f>
        <v>CDLHIGHWAVE_Bear</v>
      </c>
      <c r="CZ124" s="5">
        <f>IF(RIGHT(bovespa_diario_last_date_1[[#This Row],[PATTERN]],4)="Bull",1,IF(RIGHT(bovespa_diario_last_date_1[[#This Row],[PATTERN]],4)="Bear",-1,0))</f>
        <v>-1</v>
      </c>
    </row>
    <row r="125" spans="1:104" x14ac:dyDescent="0.25">
      <c r="A125" s="4">
        <v>44491</v>
      </c>
      <c r="B125" s="10">
        <v>24.110000610351563</v>
      </c>
      <c r="C125" s="10">
        <v>22.600000381469727</v>
      </c>
      <c r="D125" s="10">
        <v>24</v>
      </c>
      <c r="E125" s="10">
        <v>22.819999694824219</v>
      </c>
      <c r="F125" s="10">
        <v>712200</v>
      </c>
      <c r="G125" s="10">
        <v>22.819999694824219</v>
      </c>
      <c r="H125" s="10">
        <v>24.25</v>
      </c>
      <c r="I125" s="10">
        <v>-5.8969084749516787E-2</v>
      </c>
      <c r="J125" s="10">
        <v>-6.0779286322734584E-2</v>
      </c>
      <c r="K125" s="10">
        <v>1.1800003051757813</v>
      </c>
      <c r="L125" s="10">
        <v>0.21999931335449219</v>
      </c>
      <c r="M125" s="10">
        <v>0.1100006103515625</v>
      </c>
      <c r="N125" s="10">
        <v>5.040582284780433E-2</v>
      </c>
      <c r="O125" s="10">
        <v>0.18644004784534315</v>
      </c>
      <c r="P125" s="10">
        <v>9.3220832121035782E-2</v>
      </c>
      <c r="Q125" s="10">
        <v>0.38755464124192418</v>
      </c>
      <c r="R125" s="10">
        <v>0.44586787836703295</v>
      </c>
      <c r="S125" s="10">
        <v>-8.1995930921078597E-2</v>
      </c>
      <c r="T125" s="10">
        <v>-86.862747404388884</v>
      </c>
      <c r="U125" s="10">
        <v>-82.215535746438363</v>
      </c>
      <c r="V125" s="10">
        <v>-47.159498599947888</v>
      </c>
      <c r="W125" s="10">
        <v>-52.074911003655572</v>
      </c>
      <c r="X125" s="10">
        <v>-3.7000007629394531</v>
      </c>
      <c r="Y125" s="10">
        <v>6.7777845594618052E-2</v>
      </c>
      <c r="Z125" s="10">
        <v>-712200</v>
      </c>
      <c r="AA125" s="10">
        <v>-7107100</v>
      </c>
      <c r="AB125" s="10">
        <v>-87.21492034341324</v>
      </c>
      <c r="AC125" s="10">
        <v>-56.120751722574745</v>
      </c>
      <c r="AD125" s="10">
        <v>20.942161667563173</v>
      </c>
      <c r="AE125" s="10">
        <v>82.602470729824887</v>
      </c>
      <c r="AF125" s="10">
        <v>-77.499477040487733</v>
      </c>
      <c r="AG125" s="10">
        <v>1.0949999945504325</v>
      </c>
      <c r="AH125" s="10">
        <v>83.584138203749333</v>
      </c>
      <c r="AI125" s="10">
        <v>54.669473165556425</v>
      </c>
      <c r="AJ125" s="10">
        <v>24.266666412353516</v>
      </c>
      <c r="AK125" s="10">
        <v>25.71625018119812</v>
      </c>
      <c r="AL125" s="10">
        <v>25.869500160217285</v>
      </c>
      <c r="AM125" s="10">
        <v>1.0796856834872317</v>
      </c>
      <c r="AN125" s="10">
        <v>29.908519525527954</v>
      </c>
      <c r="AO125" s="10">
        <v>28.028871527191747</v>
      </c>
      <c r="AP125" s="10">
        <v>23.710128793242824</v>
      </c>
      <c r="AQ125" s="10">
        <v>-0.2282590666970494</v>
      </c>
      <c r="AR125" s="10">
        <v>-3.9006534194673724E-2</v>
      </c>
      <c r="AS125" s="10">
        <v>0.16694341627019085</v>
      </c>
      <c r="AT125" s="10">
        <v>69.833903364819804</v>
      </c>
      <c r="AU125" s="10">
        <v>-53.155393870850702</v>
      </c>
      <c r="AV125" s="10">
        <v>4.2289376859540511</v>
      </c>
      <c r="AW125" s="10">
        <v>23.407977978857133</v>
      </c>
      <c r="AX125" s="10">
        <v>-88.925752219867434</v>
      </c>
      <c r="AY125" s="10">
        <v>63.488779404210462</v>
      </c>
      <c r="AZ125" s="10">
        <v>25.23271008687745</v>
      </c>
      <c r="BA125" s="10">
        <v>-0.10572788888338398</v>
      </c>
      <c r="BB125" s="10">
        <v>-53.531768633533758</v>
      </c>
      <c r="BC125" s="10">
        <v>25.472126692920188</v>
      </c>
      <c r="BD125" s="10">
        <v>25.926439191689575</v>
      </c>
      <c r="BE125" s="10">
        <v>-0.13612793770413259</v>
      </c>
      <c r="BF125" s="10">
        <v>26.116618118755568</v>
      </c>
      <c r="BG125" s="10">
        <v>26.874828563970837</v>
      </c>
      <c r="BH125" s="10">
        <v>-0.17768750759739449</v>
      </c>
      <c r="BI125" s="10">
        <v>-64.585254320486342</v>
      </c>
      <c r="BJ125" s="10">
        <v>29.192696135995224</v>
      </c>
      <c r="BK125" s="10">
        <v>-0.2792592693424264</v>
      </c>
      <c r="BL125" s="10">
        <v>-0.64449142583537977</v>
      </c>
      <c r="BM125" s="10">
        <v>-0.42200386393855399</v>
      </c>
      <c r="BN125" s="10">
        <v>-0.22248756189682578</v>
      </c>
      <c r="BO125" s="10">
        <v>-87.751794520855427</v>
      </c>
      <c r="BP125" s="10">
        <v>78.329496796465321</v>
      </c>
      <c r="BQ125" s="10">
        <v>394388.88888888888</v>
      </c>
      <c r="BR125" s="10">
        <v>605930</v>
      </c>
      <c r="BS125" s="10">
        <v>421617.5</v>
      </c>
      <c r="BT125">
        <v>0.80583180729680248</v>
      </c>
      <c r="BU125">
        <v>0.17538329510009398</v>
      </c>
      <c r="BV125" s="10">
        <v>4.5833197567176436</v>
      </c>
      <c r="BW125" s="10">
        <v>20.998581952373403</v>
      </c>
      <c r="BX125" s="10">
        <v>20.998581952373403</v>
      </c>
      <c r="BY125" s="10">
        <v>40.706925715019715</v>
      </c>
      <c r="BZ125" s="10">
        <v>-88.602492013379504</v>
      </c>
      <c r="CA125" s="10">
        <v>87.740430732802039</v>
      </c>
      <c r="CB125" s="10">
        <v>0</v>
      </c>
      <c r="CC125" s="10">
        <v>0</v>
      </c>
      <c r="CD125" s="10">
        <v>0</v>
      </c>
      <c r="CE125" s="10">
        <v>0</v>
      </c>
      <c r="CF125" s="10">
        <v>0</v>
      </c>
      <c r="CG125" s="10">
        <v>0</v>
      </c>
      <c r="CH125" s="10">
        <v>0</v>
      </c>
      <c r="CI125" s="10">
        <v>0</v>
      </c>
      <c r="CJ125" s="10">
        <v>0</v>
      </c>
      <c r="CK125" s="10">
        <v>0</v>
      </c>
      <c r="CL125" s="10">
        <v>0</v>
      </c>
      <c r="CM125" s="10">
        <v>0</v>
      </c>
      <c r="CN125" s="10">
        <v>0</v>
      </c>
      <c r="CO125" s="10">
        <v>0</v>
      </c>
      <c r="CP125" s="10">
        <v>0</v>
      </c>
      <c r="CQ125" s="10">
        <v>0</v>
      </c>
      <c r="CR125" s="10">
        <v>0</v>
      </c>
      <c r="CS125" s="10">
        <v>0</v>
      </c>
      <c r="CT125" s="10">
        <v>0</v>
      </c>
      <c r="CU125" s="10">
        <v>0</v>
      </c>
      <c r="CV125" s="10">
        <v>0</v>
      </c>
      <c r="CW125" s="10">
        <v>0</v>
      </c>
      <c r="CX125" s="10" t="s">
        <v>227</v>
      </c>
      <c r="CY125" s="1" t="str">
        <f>VLOOKUP(bovespa_diario_last_date_1[[#This Row],[Stock]],Patterns!H:J,2,0)</f>
        <v>CDLSPINNINGTOP_Bear</v>
      </c>
      <c r="CZ125" s="5">
        <f>IF(RIGHT(bovespa_diario_last_date_1[[#This Row],[PATTERN]],4)="Bull",1,IF(RIGHT(bovespa_diario_last_date_1[[#This Row],[PATTERN]],4)="Bear",-1,0))</f>
        <v>-1</v>
      </c>
    </row>
    <row r="126" spans="1:104" x14ac:dyDescent="0.25">
      <c r="A126" s="4">
        <v>44491</v>
      </c>
      <c r="B126" s="10">
        <v>21.729999542236328</v>
      </c>
      <c r="C126" s="10">
        <v>20.850000381469727</v>
      </c>
      <c r="D126" s="10">
        <v>21.110000610351563</v>
      </c>
      <c r="E126" s="10">
        <v>21.399999618530273</v>
      </c>
      <c r="F126" s="10">
        <v>1548800</v>
      </c>
      <c r="G126" s="10">
        <v>21.399999618530273</v>
      </c>
      <c r="H126" s="10">
        <v>21.319999694824219</v>
      </c>
      <c r="I126" s="10">
        <v>3.7523416909557294E-3</v>
      </c>
      <c r="J126" s="10">
        <v>3.7453192185347194E-3</v>
      </c>
      <c r="K126" s="10">
        <v>0.28999900817871094</v>
      </c>
      <c r="L126" s="10">
        <v>0.26000022888183594</v>
      </c>
      <c r="M126" s="10">
        <v>0.32999992370605469</v>
      </c>
      <c r="N126" s="10">
        <v>1.3643801769809538E-2</v>
      </c>
      <c r="O126" s="10">
        <v>0.89655557967154031</v>
      </c>
      <c r="P126" s="10">
        <v>1.1379346632202731</v>
      </c>
      <c r="Q126" s="10">
        <v>0.54003352571303187</v>
      </c>
      <c r="R126" s="10">
        <v>0.22302928264344302</v>
      </c>
      <c r="S126" s="10">
        <v>-2.0352253661211926E-2</v>
      </c>
      <c r="T126" s="10">
        <v>-83.153041000256593</v>
      </c>
      <c r="U126" s="10">
        <v>-79.817236237753221</v>
      </c>
      <c r="V126" s="10">
        <v>-53.613170542454796</v>
      </c>
      <c r="W126" s="10">
        <v>-23.426079903101236</v>
      </c>
      <c r="X126" s="10">
        <v>-1.1000003814697266</v>
      </c>
      <c r="Y126" s="10">
        <v>7.6666726006401911E-2</v>
      </c>
      <c r="Z126" s="10">
        <v>1548800</v>
      </c>
      <c r="AA126" s="10">
        <v>596000</v>
      </c>
      <c r="AB126" s="10">
        <v>-81.020131072940302</v>
      </c>
      <c r="AC126" s="10">
        <v>43.525077787089053</v>
      </c>
      <c r="AD126" s="10">
        <v>38.558977964971369</v>
      </c>
      <c r="AE126" s="10">
        <v>-87.269803418204575</v>
      </c>
      <c r="AF126" s="10">
        <v>-62.894568440988131</v>
      </c>
      <c r="AG126" s="10">
        <v>0.5557141985212054</v>
      </c>
      <c r="AH126" s="10">
        <v>51.177091291597549</v>
      </c>
      <c r="AI126" s="10">
        <v>-81.335834981491075</v>
      </c>
      <c r="AJ126" s="10">
        <v>21.533332824707031</v>
      </c>
      <c r="AK126" s="10">
        <v>22.087500095367432</v>
      </c>
      <c r="AL126" s="10">
        <v>22.135500049591066</v>
      </c>
      <c r="AM126" s="10">
        <v>0.38097499415924047</v>
      </c>
      <c r="AN126" s="10">
        <v>17.748649992942809</v>
      </c>
      <c r="AO126" s="10">
        <v>22.897450037909547</v>
      </c>
      <c r="AP126" s="10">
        <v>21.373550061272585</v>
      </c>
      <c r="AQ126" s="10">
        <v>-6.9974319909923269E-2</v>
      </c>
      <c r="AR126" s="10">
        <v>1.2359606415499977E-3</v>
      </c>
      <c r="AS126" s="10">
        <v>6.8844163141691228E-2</v>
      </c>
      <c r="AT126" s="10">
        <v>8.7614065830808219</v>
      </c>
      <c r="AU126" s="10">
        <v>-87.984772526578283</v>
      </c>
      <c r="AV126" s="10">
        <v>16.723509966823528</v>
      </c>
      <c r="AW126" s="10">
        <v>46.20665485555768</v>
      </c>
      <c r="AX126" s="10">
        <v>-88.202245550287373</v>
      </c>
      <c r="AY126" s="10">
        <v>-85.531093302780917</v>
      </c>
      <c r="AZ126" s="10">
        <v>21.892032423770463</v>
      </c>
      <c r="BA126" s="10">
        <v>-2.2992187570608072E-2</v>
      </c>
      <c r="BB126" s="10">
        <v>-43.443195215498818</v>
      </c>
      <c r="BC126" s="10">
        <v>21.885621680849322</v>
      </c>
      <c r="BD126" s="10">
        <v>21.486188614484309</v>
      </c>
      <c r="BE126" s="10">
        <v>-4.0275232472155986E-3</v>
      </c>
      <c r="BF126" s="10">
        <v>21.191374958379011</v>
      </c>
      <c r="BG126" s="10">
        <v>20.120354397670155</v>
      </c>
      <c r="BH126" s="10">
        <v>5.9796506713582949E-2</v>
      </c>
      <c r="BI126" s="10">
        <v>79.161545854380748</v>
      </c>
      <c r="BJ126" s="10">
        <v>18.301297610422615</v>
      </c>
      <c r="BK126" s="10">
        <v>0.14479916183851191</v>
      </c>
      <c r="BL126" s="10">
        <v>0.69424672247031083</v>
      </c>
      <c r="BM126" s="10">
        <v>1.0068725681981676</v>
      </c>
      <c r="BN126" s="10">
        <v>-0.31262584572785679</v>
      </c>
      <c r="BO126" s="10">
        <v>-85.066594634590828</v>
      </c>
      <c r="BP126" s="10">
        <v>-83.777751683769779</v>
      </c>
      <c r="BQ126" s="10">
        <v>1135955.5555555555</v>
      </c>
      <c r="BR126" s="10">
        <v>1041805</v>
      </c>
      <c r="BS126" s="10">
        <v>814841</v>
      </c>
      <c r="BT126">
        <v>0.36343362416369973</v>
      </c>
      <c r="BU126">
        <v>0.48665057280393165</v>
      </c>
      <c r="BV126" s="10">
        <v>27.499961853027344</v>
      </c>
      <c r="BW126" s="10">
        <v>20.486831582185626</v>
      </c>
      <c r="BX126" s="10">
        <v>20.486831582185626</v>
      </c>
      <c r="BY126" s="10">
        <v>26.869002392952293</v>
      </c>
      <c r="BZ126" s="10">
        <v>-89.143546874954822</v>
      </c>
      <c r="CA126" s="10">
        <v>-86.734017787600663</v>
      </c>
      <c r="CB126" s="10">
        <v>0</v>
      </c>
      <c r="CC126" s="10">
        <v>0</v>
      </c>
      <c r="CD126" s="10">
        <v>0</v>
      </c>
      <c r="CE126" s="10">
        <v>0</v>
      </c>
      <c r="CF126" s="10">
        <v>0</v>
      </c>
      <c r="CG126" s="10">
        <v>0</v>
      </c>
      <c r="CH126" s="10">
        <v>0</v>
      </c>
      <c r="CI126" s="10">
        <v>0</v>
      </c>
      <c r="CJ126" s="10">
        <v>0</v>
      </c>
      <c r="CK126" s="10">
        <v>0</v>
      </c>
      <c r="CL126" s="10">
        <v>0</v>
      </c>
      <c r="CM126" s="10">
        <v>0</v>
      </c>
      <c r="CN126" s="10">
        <v>0</v>
      </c>
      <c r="CO126" s="10">
        <v>0</v>
      </c>
      <c r="CP126" s="10">
        <v>0</v>
      </c>
      <c r="CQ126" s="10">
        <v>0</v>
      </c>
      <c r="CR126" s="10">
        <v>0</v>
      </c>
      <c r="CS126" s="10">
        <v>0</v>
      </c>
      <c r="CT126" s="10">
        <v>0</v>
      </c>
      <c r="CU126" s="10">
        <v>0</v>
      </c>
      <c r="CV126" s="10">
        <v>0</v>
      </c>
      <c r="CW126" s="10">
        <v>0</v>
      </c>
      <c r="CX126" s="10" t="s">
        <v>228</v>
      </c>
      <c r="CY126" s="1" t="str">
        <f>VLOOKUP(bovespa_diario_last_date_1[[#This Row],[Stock]],Patterns!H:J,2,0)</f>
        <v>NO_PATTERN</v>
      </c>
      <c r="CZ126" s="5">
        <f>IF(RIGHT(bovespa_diario_last_date_1[[#This Row],[PATTERN]],4)="Bull",1,IF(RIGHT(bovespa_diario_last_date_1[[#This Row],[PATTERN]],4)="Bear",-1,0))</f>
        <v>0</v>
      </c>
    </row>
    <row r="127" spans="1:104" x14ac:dyDescent="0.25">
      <c r="A127" s="4">
        <v>44491</v>
      </c>
      <c r="B127" s="10">
        <v>2.630000114440918</v>
      </c>
      <c r="C127" s="10">
        <v>2.380000114440918</v>
      </c>
      <c r="D127" s="10">
        <v>2.619999885559082</v>
      </c>
      <c r="E127" s="10">
        <v>2.5</v>
      </c>
      <c r="F127" s="10">
        <v>2962900</v>
      </c>
      <c r="G127" s="10">
        <v>2.5</v>
      </c>
      <c r="H127" s="10">
        <v>2.619999885559082</v>
      </c>
      <c r="I127" s="10">
        <v>-4.5801485038414524E-2</v>
      </c>
      <c r="J127" s="10">
        <v>-4.6883542219109793E-2</v>
      </c>
      <c r="K127" s="10">
        <v>0.11999988555908203</v>
      </c>
      <c r="L127" s="10">
        <v>0.11999988555908203</v>
      </c>
      <c r="M127" s="10">
        <v>1.0000228881835938E-2</v>
      </c>
      <c r="N127" s="10">
        <v>4.6874956344253337E-2</v>
      </c>
      <c r="O127" s="10">
        <v>1</v>
      </c>
      <c r="P127" s="10">
        <v>8.3335320156720627E-2</v>
      </c>
      <c r="Q127" s="10">
        <v>0.61104528657932045</v>
      </c>
      <c r="R127" s="10">
        <v>0.67919820735731762</v>
      </c>
      <c r="S127" s="10">
        <v>-0.11689373110834647</v>
      </c>
      <c r="T127" s="10">
        <v>-82.002509331095951</v>
      </c>
      <c r="U127" s="10">
        <v>-73.549181327996934</v>
      </c>
      <c r="V127" s="10">
        <v>-21.547253337149254</v>
      </c>
      <c r="W127" s="10">
        <v>-13.797087212558894</v>
      </c>
      <c r="X127" s="10">
        <v>-0.33999991416931152</v>
      </c>
      <c r="Y127" s="10">
        <v>8.0000003178914383E-2</v>
      </c>
      <c r="Z127" s="10">
        <v>-2962900</v>
      </c>
      <c r="AA127" s="10">
        <v>33492800</v>
      </c>
      <c r="AB127" s="10">
        <v>-85.371081872978309</v>
      </c>
      <c r="AC127" s="10">
        <v>-39.903279068956458</v>
      </c>
      <c r="AD127" s="10">
        <v>33.241643909494336</v>
      </c>
      <c r="AE127" s="10">
        <v>-80.31445909807745</v>
      </c>
      <c r="AF127" s="10">
        <v>-86.670828679021213</v>
      </c>
      <c r="AG127" s="10">
        <v>0.17928567954472133</v>
      </c>
      <c r="AH127" s="10">
        <v>2.7174522475716437E-4</v>
      </c>
      <c r="AI127" s="10">
        <v>35.475461730739866</v>
      </c>
      <c r="AJ127" s="10">
        <v>2.6199999650319419</v>
      </c>
      <c r="AK127" s="10">
        <v>2.8287499845027924</v>
      </c>
      <c r="AL127" s="10">
        <v>2.8134999990463259</v>
      </c>
      <c r="AM127" s="10">
        <v>0.14893569423780087</v>
      </c>
      <c r="AN127" s="10">
        <v>3.9864000010490419</v>
      </c>
      <c r="AO127" s="10">
        <v>3.1113713875219275</v>
      </c>
      <c r="AP127" s="10">
        <v>2.5156286105707242</v>
      </c>
      <c r="AQ127" s="10">
        <v>-0.24454855500877101</v>
      </c>
      <c r="AR127" s="10">
        <v>-6.2514442282896711E-3</v>
      </c>
      <c r="AS127" s="10">
        <v>0.21174436721277359</v>
      </c>
      <c r="AT127" s="10">
        <v>5.8664854175321599</v>
      </c>
      <c r="AU127" s="10">
        <v>-81.267637328149277</v>
      </c>
      <c r="AV127" s="10">
        <v>12.448290933445222</v>
      </c>
      <c r="AW127" s="10">
        <v>30.864422513527487</v>
      </c>
      <c r="AX127" s="10">
        <v>-88.342081538821645</v>
      </c>
      <c r="AY127" s="10">
        <v>77.030983100654836</v>
      </c>
      <c r="AZ127" s="10">
        <v>2.7540344635097611</v>
      </c>
      <c r="BA127" s="10">
        <v>-0.10161378540390445</v>
      </c>
      <c r="BB127" s="10">
        <v>-31.758692801157537</v>
      </c>
      <c r="BC127" s="10">
        <v>2.7884177930167628</v>
      </c>
      <c r="BD127" s="10">
        <v>2.8929023996564833</v>
      </c>
      <c r="BE127" s="10">
        <v>-0.15716095986259332</v>
      </c>
      <c r="BF127" s="10">
        <v>2.9570629824503758</v>
      </c>
      <c r="BG127" s="10">
        <v>3.2429099066561107</v>
      </c>
      <c r="BH127" s="10">
        <v>-0.29716396266244427</v>
      </c>
      <c r="BI127" s="10">
        <v>-55.527258745462049</v>
      </c>
      <c r="BJ127" s="10">
        <v>4.0205893863018538</v>
      </c>
      <c r="BK127" s="10">
        <v>-0.60823575452074152</v>
      </c>
      <c r="BL127" s="10">
        <v>-0.16864518943361295</v>
      </c>
      <c r="BM127" s="10">
        <v>-0.17249914319091789</v>
      </c>
      <c r="BN127" s="10">
        <v>3.8539537573049343E-3</v>
      </c>
      <c r="BO127" s="10">
        <v>-85.224086924070306</v>
      </c>
      <c r="BP127" s="10">
        <v>71.020426482053793</v>
      </c>
      <c r="BQ127" s="10">
        <v>1340600</v>
      </c>
      <c r="BR127" s="10">
        <v>1288505</v>
      </c>
      <c r="BS127" s="10">
        <v>1068512.5</v>
      </c>
      <c r="BT127">
        <v>1.2101297926301657</v>
      </c>
      <c r="BU127">
        <v>1.2994866143321135</v>
      </c>
      <c r="BV127" s="10">
        <v>16.438345426820007</v>
      </c>
      <c r="BW127" s="10">
        <v>20.024904860102748</v>
      </c>
      <c r="BX127" s="10">
        <v>20.024904860102748</v>
      </c>
      <c r="BY127" s="10">
        <v>33.74568078695922</v>
      </c>
      <c r="BZ127" s="10">
        <v>-88.857570880525472</v>
      </c>
      <c r="CA127" s="10">
        <v>87.315705975720945</v>
      </c>
      <c r="CB127" s="10">
        <v>0</v>
      </c>
      <c r="CC127" s="10">
        <v>0</v>
      </c>
      <c r="CD127" s="10">
        <v>0</v>
      </c>
      <c r="CE127" s="10">
        <v>0</v>
      </c>
      <c r="CF127" s="10">
        <v>0</v>
      </c>
      <c r="CG127" s="10">
        <v>0</v>
      </c>
      <c r="CH127" s="10">
        <v>0</v>
      </c>
      <c r="CI127" s="10">
        <v>0</v>
      </c>
      <c r="CJ127" s="10">
        <v>0</v>
      </c>
      <c r="CK127" s="10">
        <v>0</v>
      </c>
      <c r="CL127" s="10">
        <v>0</v>
      </c>
      <c r="CM127" s="10">
        <v>0</v>
      </c>
      <c r="CN127" s="10">
        <v>0</v>
      </c>
      <c r="CO127" s="10">
        <v>0</v>
      </c>
      <c r="CP127" s="10">
        <v>0</v>
      </c>
      <c r="CQ127" s="10">
        <v>0</v>
      </c>
      <c r="CR127" s="10">
        <v>0</v>
      </c>
      <c r="CS127" s="10">
        <v>0</v>
      </c>
      <c r="CT127" s="10">
        <v>0</v>
      </c>
      <c r="CU127" s="10">
        <v>0</v>
      </c>
      <c r="CV127" s="10">
        <v>0</v>
      </c>
      <c r="CW127" s="10">
        <v>0</v>
      </c>
      <c r="CX127" s="10" t="s">
        <v>229</v>
      </c>
      <c r="CY127" s="1" t="str">
        <f>VLOOKUP(bovespa_diario_last_date_1[[#This Row],[Stock]],Patterns!H:J,2,0)</f>
        <v>CDL3INSIDE_Bull</v>
      </c>
      <c r="CZ127" s="5">
        <f>IF(RIGHT(bovespa_diario_last_date_1[[#This Row],[PATTERN]],4)="Bull",1,IF(RIGHT(bovespa_diario_last_date_1[[#This Row],[PATTERN]],4)="Bear",-1,0))</f>
        <v>1</v>
      </c>
    </row>
    <row r="128" spans="1:104" x14ac:dyDescent="0.25">
      <c r="A128" s="4">
        <v>44491</v>
      </c>
      <c r="B128" s="10">
        <v>22.200000762939453</v>
      </c>
      <c r="C128" s="10">
        <v>19.530000686645508</v>
      </c>
      <c r="D128" s="10">
        <v>21.549999237060547</v>
      </c>
      <c r="E128" s="10">
        <v>20.180000305175781</v>
      </c>
      <c r="F128" s="10">
        <v>19306700</v>
      </c>
      <c r="G128" s="10">
        <v>20.180000305175781</v>
      </c>
      <c r="H128" s="10">
        <v>22.149999618530273</v>
      </c>
      <c r="I128" s="10">
        <v>-8.8939022450656324E-2</v>
      </c>
      <c r="J128" s="10">
        <v>-9.31454492208873E-2</v>
      </c>
      <c r="K128" s="10">
        <v>1.3699989318847656</v>
      </c>
      <c r="L128" s="10">
        <v>0.64999961853027344</v>
      </c>
      <c r="M128" s="10">
        <v>0.65000152587890625</v>
      </c>
      <c r="N128" s="10">
        <v>6.5660146029867264E-2</v>
      </c>
      <c r="O128" s="10">
        <v>0.47445264620465172</v>
      </c>
      <c r="P128" s="10">
        <v>0.47445403843101658</v>
      </c>
      <c r="Q128" s="10">
        <v>0.60072503944153999</v>
      </c>
      <c r="R128" s="10">
        <v>0.61986049194819171</v>
      </c>
      <c r="S128" s="10">
        <v>-5.4953554935435051E-2</v>
      </c>
      <c r="T128" s="10">
        <v>-80.952814519360601</v>
      </c>
      <c r="U128" s="10">
        <v>-42.316793335281844</v>
      </c>
      <c r="V128" s="10">
        <v>-29.513567408451866</v>
      </c>
      <c r="W128" s="10">
        <v>-42.596234260600149</v>
      </c>
      <c r="X128" s="10">
        <v>-1.9699993133544922</v>
      </c>
      <c r="Y128" s="10">
        <v>-0.35777770148383248</v>
      </c>
      <c r="Z128" s="10">
        <v>-19306700</v>
      </c>
      <c r="AA128" s="10">
        <v>283631800</v>
      </c>
      <c r="AB128" s="10">
        <v>-81.181556593111893</v>
      </c>
      <c r="AC128" s="10">
        <v>-46.714117614350386</v>
      </c>
      <c r="AD128" s="10">
        <v>12.190949398048941</v>
      </c>
      <c r="AE128" s="10">
        <v>51.498834079313035</v>
      </c>
      <c r="AF128" s="10">
        <v>-53.632536480705475</v>
      </c>
      <c r="AG128" s="10">
        <v>1.3300001961844308</v>
      </c>
      <c r="AH128" s="10">
        <v>82.56122146927153</v>
      </c>
      <c r="AI128" s="10">
        <v>66.995005791643138</v>
      </c>
      <c r="AJ128" s="10">
        <v>21.633333206176758</v>
      </c>
      <c r="AK128" s="10">
        <v>21.921249866485596</v>
      </c>
      <c r="AL128" s="10">
        <v>22.183999824523926</v>
      </c>
      <c r="AM128" s="10">
        <v>0.83096889657455686</v>
      </c>
      <c r="AN128" s="10">
        <v>25.330412454605103</v>
      </c>
      <c r="AO128" s="10">
        <v>23.845937617673041</v>
      </c>
      <c r="AP128" s="10">
        <v>20.522062031374812</v>
      </c>
      <c r="AQ128" s="10">
        <v>-0.18166190570160781</v>
      </c>
      <c r="AR128" s="10">
        <v>-1.6950531269878059E-2</v>
      </c>
      <c r="AS128" s="10">
        <v>0.14983211380229805</v>
      </c>
      <c r="AT128" s="10">
        <v>40.738583814825759</v>
      </c>
      <c r="AU128" s="10">
        <v>-48.558535865164835</v>
      </c>
      <c r="AV128" s="10">
        <v>22.395564234644496</v>
      </c>
      <c r="AW128" s="10">
        <v>36.468789360454856</v>
      </c>
      <c r="AX128" s="10">
        <v>-86.423992811243806</v>
      </c>
      <c r="AY128" s="10">
        <v>69.548379717243165</v>
      </c>
      <c r="AZ128" s="10">
        <v>21.78065099607063</v>
      </c>
      <c r="BA128" s="10">
        <v>-7.931866534631879E-2</v>
      </c>
      <c r="BB128" s="10">
        <v>-11.907330027725761</v>
      </c>
      <c r="BC128" s="10">
        <v>21.913720718160381</v>
      </c>
      <c r="BD128" s="10">
        <v>22.272628637928385</v>
      </c>
      <c r="BE128" s="10">
        <v>-0.10369813186850571</v>
      </c>
      <c r="BF128" s="10">
        <v>22.459413544030451</v>
      </c>
      <c r="BG128" s="10">
        <v>23.201213816537528</v>
      </c>
      <c r="BH128" s="10">
        <v>-0.14971325399766541</v>
      </c>
      <c r="BI128" s="10">
        <v>-52.465290812044849</v>
      </c>
      <c r="BJ128" s="10">
        <v>23.103971980470423</v>
      </c>
      <c r="BK128" s="10">
        <v>-0.14489453077682557</v>
      </c>
      <c r="BL128" s="10">
        <v>-0.54569282587006995</v>
      </c>
      <c r="BM128" s="10">
        <v>-0.51025790325887233</v>
      </c>
      <c r="BN128" s="10">
        <v>-3.5434922611197628E-2</v>
      </c>
      <c r="BO128" s="10">
        <v>-77.137998009049952</v>
      </c>
      <c r="BP128" s="10">
        <v>68.390638285009288</v>
      </c>
      <c r="BQ128" s="10">
        <v>7614777.777777778</v>
      </c>
      <c r="BR128" s="10">
        <v>6956745</v>
      </c>
      <c r="BS128" s="10">
        <v>7842788</v>
      </c>
      <c r="BT128">
        <v>1.5354252695781594</v>
      </c>
      <c r="BU128">
        <v>1.7752490568505817</v>
      </c>
      <c r="BV128" s="10">
        <v>16.752571111429003</v>
      </c>
      <c r="BW128" s="10">
        <v>42.446917575658752</v>
      </c>
      <c r="BX128" s="10">
        <v>42.446917575658752</v>
      </c>
      <c r="BY128" s="10">
        <v>46.044388953155938</v>
      </c>
      <c r="BZ128" s="10">
        <v>81.994934079138744</v>
      </c>
      <c r="CA128" s="10">
        <v>83.599485226413535</v>
      </c>
      <c r="CB128" s="10">
        <v>0</v>
      </c>
      <c r="CC128" s="10">
        <v>0</v>
      </c>
      <c r="CD128" s="10">
        <v>0</v>
      </c>
      <c r="CE128" s="10">
        <v>0</v>
      </c>
      <c r="CF128" s="10">
        <v>0</v>
      </c>
      <c r="CG128" s="10">
        <v>0</v>
      </c>
      <c r="CH128" s="10">
        <v>-1</v>
      </c>
      <c r="CI128" s="10">
        <v>0</v>
      </c>
      <c r="CJ128" s="10">
        <v>-1</v>
      </c>
      <c r="CK128" s="10">
        <v>0</v>
      </c>
      <c r="CL128" s="10">
        <v>0</v>
      </c>
      <c r="CM128" s="10">
        <v>0</v>
      </c>
      <c r="CN128" s="10">
        <v>0</v>
      </c>
      <c r="CO128" s="10">
        <v>0</v>
      </c>
      <c r="CP128" s="10">
        <v>0</v>
      </c>
      <c r="CQ128" s="10">
        <v>0</v>
      </c>
      <c r="CR128" s="10">
        <v>0</v>
      </c>
      <c r="CS128" s="10">
        <v>0</v>
      </c>
      <c r="CT128" s="10">
        <v>0</v>
      </c>
      <c r="CU128" s="10">
        <v>0</v>
      </c>
      <c r="CV128" s="10">
        <v>0</v>
      </c>
      <c r="CW128" s="10">
        <v>0</v>
      </c>
      <c r="CX128" s="10" t="s">
        <v>230</v>
      </c>
      <c r="CY128" s="1" t="str">
        <f>VLOOKUP(bovespa_diario_last_date_1[[#This Row],[Stock]],Patterns!H:J,2,0)</f>
        <v>CDLCLOSINGMARUBOZU_Bear</v>
      </c>
      <c r="CZ128" s="5">
        <f>IF(RIGHT(bovespa_diario_last_date_1[[#This Row],[PATTERN]],4)="Bull",1,IF(RIGHT(bovespa_diario_last_date_1[[#This Row],[PATTERN]],4)="Bear",-1,0))</f>
        <v>-1</v>
      </c>
    </row>
    <row r="129" spans="1:104" x14ac:dyDescent="0.25">
      <c r="A129" s="4">
        <v>44491</v>
      </c>
      <c r="B129" s="10">
        <v>5.570000171661377</v>
      </c>
      <c r="C129" s="10">
        <v>4.9899997711181641</v>
      </c>
      <c r="D129" s="10">
        <v>5.570000171661377</v>
      </c>
      <c r="E129" s="10">
        <v>5.0999999046325684</v>
      </c>
      <c r="F129" s="10">
        <v>6140800</v>
      </c>
      <c r="G129" s="10">
        <v>5.0999999046325684</v>
      </c>
      <c r="H129" s="10">
        <v>5.5999999046325684</v>
      </c>
      <c r="I129" s="10">
        <v>-8.9285715806241006E-2</v>
      </c>
      <c r="J129" s="10">
        <v>-9.3526059680421436E-2</v>
      </c>
      <c r="K129" s="10">
        <v>0.47000026702880859</v>
      </c>
      <c r="L129" s="10">
        <v>0.1100001335144043</v>
      </c>
      <c r="M129" s="10">
        <v>0</v>
      </c>
      <c r="N129" s="10">
        <v>8.8097518963103083E-2</v>
      </c>
      <c r="O129" s="10">
        <v>0.23404270429416982</v>
      </c>
      <c r="P129" s="10">
        <v>0</v>
      </c>
      <c r="Q129" s="10">
        <v>0.52670145517913014</v>
      </c>
      <c r="R129" s="10">
        <v>0.61785628861624264</v>
      </c>
      <c r="S129" s="10">
        <v>-0.12689176396569693</v>
      </c>
      <c r="T129" s="10">
        <v>-85.271308039811288</v>
      </c>
      <c r="U129" s="10">
        <v>-79.983467415421657</v>
      </c>
      <c r="V129" s="10">
        <v>-51.073385162059068</v>
      </c>
      <c r="W129" s="10">
        <v>-74.394921923137062</v>
      </c>
      <c r="X129" s="10">
        <v>-0.8899998664855957</v>
      </c>
      <c r="Y129" s="10">
        <v>-0.26777776082356769</v>
      </c>
      <c r="Z129" s="10">
        <v>-6140800</v>
      </c>
      <c r="AA129" s="10">
        <v>17732900</v>
      </c>
      <c r="AB129" s="10">
        <v>-85.608301889184716</v>
      </c>
      <c r="AC129" s="10">
        <v>-71.517713863282339</v>
      </c>
      <c r="AD129" s="10">
        <v>30.045364544336838</v>
      </c>
      <c r="AE129" s="10">
        <v>77.431177999514773</v>
      </c>
      <c r="AF129" s="10">
        <v>-57.175697094673374</v>
      </c>
      <c r="AG129" s="10">
        <v>0.34999997275216238</v>
      </c>
      <c r="AH129" s="10">
        <v>63.746433251619081</v>
      </c>
      <c r="AI129" s="10">
        <v>21.14376813247965</v>
      </c>
      <c r="AJ129" s="10">
        <v>5.4499999682108564</v>
      </c>
      <c r="AK129" s="10">
        <v>5.7725000381469727</v>
      </c>
      <c r="AL129" s="10">
        <v>6.0109999895095827</v>
      </c>
      <c r="AM129" s="10">
        <v>0.44922035447151659</v>
      </c>
      <c r="AN129" s="10">
        <v>7.0995985555648806</v>
      </c>
      <c r="AO129" s="10">
        <v>6.9094406984526158</v>
      </c>
      <c r="AP129" s="10">
        <v>5.1125592805665496</v>
      </c>
      <c r="AQ129" s="10">
        <v>-0.3547923191481725</v>
      </c>
      <c r="AR129" s="10">
        <v>-2.4626227782029949E-3</v>
      </c>
      <c r="AS129" s="10">
        <v>0.29893219448045077</v>
      </c>
      <c r="AT129" s="10">
        <v>-31.381987542775921</v>
      </c>
      <c r="AU129" s="10">
        <v>71.602221654315258</v>
      </c>
      <c r="AV129" s="10">
        <v>7.6906169787584417</v>
      </c>
      <c r="AW129" s="10">
        <v>27.241096777396251</v>
      </c>
      <c r="AX129" s="10">
        <v>-87.915137513826053</v>
      </c>
      <c r="AY129" s="10">
        <v>78.519448238275714</v>
      </c>
      <c r="AZ129" s="10">
        <v>5.6915757776943368</v>
      </c>
      <c r="BA129" s="10">
        <v>-0.11599527139685088</v>
      </c>
      <c r="BB129" s="10">
        <v>-68.464034837697156</v>
      </c>
      <c r="BC129" s="10">
        <v>5.7806223864981501</v>
      </c>
      <c r="BD129" s="10">
        <v>6.0131278111114117</v>
      </c>
      <c r="BE129" s="10">
        <v>-0.1790446908929168</v>
      </c>
      <c r="BF129" s="10">
        <v>6.130691429206669</v>
      </c>
      <c r="BG129" s="10">
        <v>6.5850210442898618</v>
      </c>
      <c r="BH129" s="10">
        <v>-0.2911806210640081</v>
      </c>
      <c r="BI129" s="10">
        <v>-74.580841894049684</v>
      </c>
      <c r="BJ129" s="10">
        <v>7.0936963747420503</v>
      </c>
      <c r="BK129" s="10">
        <v>-0.39092088380207896</v>
      </c>
      <c r="BL129" s="10">
        <v>-0.35006904270851891</v>
      </c>
      <c r="BM129" s="10">
        <v>-0.31925407876689749</v>
      </c>
      <c r="BN129" s="10">
        <v>-3.081496394162142E-2</v>
      </c>
      <c r="BO129" s="10">
        <v>-84.442696632240995</v>
      </c>
      <c r="BP129" s="10">
        <v>78.757673382088953</v>
      </c>
      <c r="BQ129" s="10">
        <v>1567588.888888889</v>
      </c>
      <c r="BR129" s="10">
        <v>1587170</v>
      </c>
      <c r="BS129" s="10">
        <v>1651956.5</v>
      </c>
      <c r="BT129">
        <v>2.9173536145389591</v>
      </c>
      <c r="BU129">
        <v>2.8690247421511241</v>
      </c>
      <c r="BV129" s="10">
        <v>8.2706842396045044</v>
      </c>
      <c r="BW129" s="10">
        <v>23.351679558829428</v>
      </c>
      <c r="BX129" s="10">
        <v>23.351679558829428</v>
      </c>
      <c r="BY129" s="10">
        <v>30.550722736956374</v>
      </c>
      <c r="BZ129" s="10">
        <v>-85.741911970286509</v>
      </c>
      <c r="CA129" s="10">
        <v>85.631353833448173</v>
      </c>
      <c r="CB129" s="10">
        <v>0</v>
      </c>
      <c r="CC129" s="10">
        <v>0</v>
      </c>
      <c r="CD129" s="10">
        <v>0</v>
      </c>
      <c r="CE129" s="10">
        <v>0</v>
      </c>
      <c r="CF129" s="10">
        <v>0</v>
      </c>
      <c r="CG129" s="10">
        <v>0</v>
      </c>
      <c r="CH129" s="10">
        <v>-1</v>
      </c>
      <c r="CI129" s="10">
        <v>0</v>
      </c>
      <c r="CJ129" s="10">
        <v>-1</v>
      </c>
      <c r="CK129" s="10">
        <v>0</v>
      </c>
      <c r="CL129" s="10">
        <v>0</v>
      </c>
      <c r="CM129" s="10">
        <v>0</v>
      </c>
      <c r="CN129" s="10">
        <v>0</v>
      </c>
      <c r="CO129" s="10">
        <v>0</v>
      </c>
      <c r="CP129" s="10">
        <v>0</v>
      </c>
      <c r="CQ129" s="10">
        <v>0</v>
      </c>
      <c r="CR129" s="10">
        <v>0</v>
      </c>
      <c r="CS129" s="10">
        <v>0</v>
      </c>
      <c r="CT129" s="10">
        <v>0</v>
      </c>
      <c r="CU129" s="10">
        <v>0</v>
      </c>
      <c r="CV129" s="10">
        <v>0</v>
      </c>
      <c r="CW129" s="10">
        <v>0</v>
      </c>
      <c r="CX129" s="10" t="s">
        <v>231</v>
      </c>
      <c r="CY129" s="1" t="str">
        <f>VLOOKUP(bovespa_diario_last_date_1[[#This Row],[Stock]],Patterns!H:J,2,0)</f>
        <v>CDLHIKKAKE_Bull</v>
      </c>
      <c r="CZ129" s="5">
        <f>IF(RIGHT(bovespa_diario_last_date_1[[#This Row],[PATTERN]],4)="Bull",1,IF(RIGHT(bovespa_diario_last_date_1[[#This Row],[PATTERN]],4)="Bear",-1,0))</f>
        <v>1</v>
      </c>
    </row>
    <row r="130" spans="1:104" x14ac:dyDescent="0.25">
      <c r="A130" s="4">
        <v>44491</v>
      </c>
      <c r="B130" s="10">
        <v>7.0799999237060547</v>
      </c>
      <c r="C130" s="10">
        <v>6.5199999809265137</v>
      </c>
      <c r="D130" s="10">
        <v>7.0799999237060547</v>
      </c>
      <c r="E130" s="10">
        <v>6.7399997711181641</v>
      </c>
      <c r="F130" s="10">
        <v>819500</v>
      </c>
      <c r="G130" s="10">
        <v>6.7399997711181641</v>
      </c>
      <c r="H130" s="10">
        <v>7.1599998474121094</v>
      </c>
      <c r="I130" s="10">
        <v>-5.865922978277005E-2</v>
      </c>
      <c r="J130" s="10">
        <v>-6.0450068695910408E-2</v>
      </c>
      <c r="K130" s="10">
        <v>0.34000015258789063</v>
      </c>
      <c r="L130" s="10">
        <v>0.21999979019165039</v>
      </c>
      <c r="M130" s="10">
        <v>0</v>
      </c>
      <c r="N130" s="10">
        <v>4.9204075267125426E-2</v>
      </c>
      <c r="O130" s="10">
        <v>0.64705791605425844</v>
      </c>
      <c r="P130" s="10">
        <v>0</v>
      </c>
      <c r="Q130" s="10">
        <v>0.44089488692471074</v>
      </c>
      <c r="R130" s="10">
        <v>0.53972359932702507</v>
      </c>
      <c r="S130" s="10">
        <v>-0.13704897410130762</v>
      </c>
      <c r="T130" s="10">
        <v>-83.654587819333202</v>
      </c>
      <c r="U130" s="10">
        <v>-79.899210751621609</v>
      </c>
      <c r="V130" s="10">
        <v>-66.453595504824918</v>
      </c>
      <c r="W130" s="10">
        <v>-55.254869989922767</v>
      </c>
      <c r="X130" s="10">
        <v>-1.3000001907348633</v>
      </c>
      <c r="Y130" s="10">
        <v>-0.26555569966634113</v>
      </c>
      <c r="Z130" s="10">
        <v>-819500</v>
      </c>
      <c r="AA130" s="10">
        <v>25662900</v>
      </c>
      <c r="AB130" s="10">
        <v>-73.696003704653634</v>
      </c>
      <c r="AC130" s="10">
        <v>-52.033720925060088</v>
      </c>
      <c r="AD130" s="10">
        <v>43.101778371449299</v>
      </c>
      <c r="AE130" s="10">
        <v>83.666760583604784</v>
      </c>
      <c r="AF130" s="10">
        <v>-61.759600424906949</v>
      </c>
      <c r="AG130" s="10">
        <v>0.43428564071655273</v>
      </c>
      <c r="AH130" s="10">
        <v>67.352347851848023</v>
      </c>
      <c r="AI130" s="10">
        <v>13.93980271612171</v>
      </c>
      <c r="AJ130" s="10">
        <v>7.1166664759318037</v>
      </c>
      <c r="AK130" s="10">
        <v>7.5724998712539673</v>
      </c>
      <c r="AL130" s="10">
        <v>7.8279998779296873</v>
      </c>
      <c r="AM130" s="10">
        <v>0.39286527246092795</v>
      </c>
      <c r="AN130" s="10">
        <v>11.542553367614746</v>
      </c>
      <c r="AO130" s="10">
        <v>8.6137304228515426</v>
      </c>
      <c r="AP130" s="10">
        <v>7.0422693330078312</v>
      </c>
      <c r="AQ130" s="10">
        <v>-0.27800158981645295</v>
      </c>
      <c r="AR130" s="10">
        <v>-4.4847117530320141E-2</v>
      </c>
      <c r="AS130" s="10">
        <v>0.20074873714220395</v>
      </c>
      <c r="AT130" s="10">
        <v>80.22688331899117</v>
      </c>
      <c r="AU130" s="10">
        <v>-53.53881473303322</v>
      </c>
      <c r="AV130" s="10">
        <v>9.8062274653720465</v>
      </c>
      <c r="AW130" s="10">
        <v>25.986665338156214</v>
      </c>
      <c r="AX130" s="10">
        <v>-87.973456207768706</v>
      </c>
      <c r="AY130" s="10">
        <v>-74.702200739564375</v>
      </c>
      <c r="AZ130" s="10">
        <v>7.4750576434939404</v>
      </c>
      <c r="BA130" s="10">
        <v>-0.10905903521326536</v>
      </c>
      <c r="BB130" s="10">
        <v>-67.437106978533265</v>
      </c>
      <c r="BC130" s="10">
        <v>7.5912433256023224</v>
      </c>
      <c r="BD130" s="10">
        <v>7.8711369211834787</v>
      </c>
      <c r="BE130" s="10">
        <v>-0.16782450867615673</v>
      </c>
      <c r="BF130" s="10">
        <v>8.0185776380056062</v>
      </c>
      <c r="BG130" s="10">
        <v>8.6866032035623917</v>
      </c>
      <c r="BH130" s="10">
        <v>-0.2888135754522862</v>
      </c>
      <c r="BI130" s="10">
        <v>-62.411325589314899</v>
      </c>
      <c r="BJ130" s="10">
        <v>11.030971652213667</v>
      </c>
      <c r="BK130" s="10">
        <v>-0.63664273394828796</v>
      </c>
      <c r="BL130" s="10">
        <v>-0.42733431240328379</v>
      </c>
      <c r="BM130" s="10">
        <v>-0.37327994184523905</v>
      </c>
      <c r="BN130" s="10">
        <v>-5.405437055804474E-2</v>
      </c>
      <c r="BO130" s="10">
        <v>-85.277581486214899</v>
      </c>
      <c r="BP130" s="10">
        <v>-47.914502159199202</v>
      </c>
      <c r="BQ130" s="10">
        <v>737988.88888888888</v>
      </c>
      <c r="BR130" s="10">
        <v>742495</v>
      </c>
      <c r="BS130" s="10">
        <v>799140.5</v>
      </c>
      <c r="BT130">
        <v>0.11045032294975843</v>
      </c>
      <c r="BU130">
        <v>0.1037111361019265</v>
      </c>
      <c r="BV130" s="10">
        <v>11.702118755302594</v>
      </c>
      <c r="BW130" s="10">
        <v>12.067927804221421</v>
      </c>
      <c r="BX130" s="10">
        <v>12.067927804221421</v>
      </c>
      <c r="BY130" s="10">
        <v>15.057368781228435</v>
      </c>
      <c r="BZ130" s="10">
        <v>-87.27284910030798</v>
      </c>
      <c r="CA130" s="10">
        <v>67.80751951404352</v>
      </c>
      <c r="CB130" s="10">
        <v>0</v>
      </c>
      <c r="CC130" s="10">
        <v>0</v>
      </c>
      <c r="CD130" s="10">
        <v>0</v>
      </c>
      <c r="CE130" s="10">
        <v>0</v>
      </c>
      <c r="CF130" s="10">
        <v>0</v>
      </c>
      <c r="CG130" s="10">
        <v>0</v>
      </c>
      <c r="CH130" s="10">
        <v>0</v>
      </c>
      <c r="CI130" s="10">
        <v>0</v>
      </c>
      <c r="CJ130" s="10">
        <v>0</v>
      </c>
      <c r="CK130" s="10">
        <v>0</v>
      </c>
      <c r="CL130" s="10">
        <v>0</v>
      </c>
      <c r="CM130" s="10">
        <v>0</v>
      </c>
      <c r="CN130" s="10">
        <v>0</v>
      </c>
      <c r="CO130" s="10">
        <v>0</v>
      </c>
      <c r="CP130" s="10">
        <v>0</v>
      </c>
      <c r="CQ130" s="10">
        <v>0</v>
      </c>
      <c r="CR130" s="10">
        <v>0</v>
      </c>
      <c r="CS130" s="10">
        <v>0</v>
      </c>
      <c r="CT130" s="10">
        <v>0</v>
      </c>
      <c r="CU130" s="10">
        <v>0</v>
      </c>
      <c r="CV130" s="10">
        <v>0</v>
      </c>
      <c r="CW130" s="10">
        <v>0</v>
      </c>
      <c r="CX130" s="10" t="s">
        <v>232</v>
      </c>
      <c r="CY130" s="1" t="str">
        <f>VLOOKUP(bovespa_diario_last_date_1[[#This Row],[Stock]],Patterns!H:J,2,0)</f>
        <v>CDLSPINNINGTOP_Bear</v>
      </c>
      <c r="CZ130" s="5">
        <f>IF(RIGHT(bovespa_diario_last_date_1[[#This Row],[PATTERN]],4)="Bull",1,IF(RIGHT(bovespa_diario_last_date_1[[#This Row],[PATTERN]],4)="Bear",-1,0))</f>
        <v>-1</v>
      </c>
    </row>
    <row r="131" spans="1:104" x14ac:dyDescent="0.25">
      <c r="A131" s="4">
        <v>44491</v>
      </c>
      <c r="B131" s="10">
        <v>13.090000152587891</v>
      </c>
      <c r="C131" s="10">
        <v>12.409999847412109</v>
      </c>
      <c r="D131" s="10">
        <v>12.680000305175781</v>
      </c>
      <c r="E131" s="10">
        <v>13.090000152587891</v>
      </c>
      <c r="F131" s="10">
        <v>2192900</v>
      </c>
      <c r="G131" s="10">
        <v>13.090000152587891</v>
      </c>
      <c r="H131" s="10">
        <v>12.810000419616699</v>
      </c>
      <c r="I131" s="10">
        <v>2.1857901935929069E-2</v>
      </c>
      <c r="J131" s="10">
        <v>2.1622442913031878E-2</v>
      </c>
      <c r="K131" s="10">
        <v>0.40999984741210938</v>
      </c>
      <c r="L131" s="10">
        <v>0.27000045776367188</v>
      </c>
      <c r="M131" s="10">
        <v>0</v>
      </c>
      <c r="N131" s="10">
        <v>3.1819933265743471E-2</v>
      </c>
      <c r="O131" s="10">
        <v>0.6585379469477759</v>
      </c>
      <c r="P131" s="10">
        <v>0</v>
      </c>
      <c r="Q131" s="10">
        <v>0.31665099688949622</v>
      </c>
      <c r="R131" s="10">
        <v>0.54230902428003291</v>
      </c>
      <c r="S131" s="10">
        <v>-9.537958851236375E-2</v>
      </c>
      <c r="T131" s="10">
        <v>-87.293176880612549</v>
      </c>
      <c r="U131" s="10">
        <v>-87.301587383409199</v>
      </c>
      <c r="V131" s="10">
        <v>-84.596394276313248</v>
      </c>
      <c r="W131" s="10">
        <v>-84.93943340133508</v>
      </c>
      <c r="X131" s="10">
        <v>-1.3499994277954102</v>
      </c>
      <c r="Y131" s="10">
        <v>-1.2844440672132704</v>
      </c>
      <c r="Z131" s="10">
        <v>2192900</v>
      </c>
      <c r="AA131" s="10">
        <v>14812900</v>
      </c>
      <c r="AB131" s="10">
        <v>-84.30781791954729</v>
      </c>
      <c r="AC131" s="10">
        <v>56.855830103329318</v>
      </c>
      <c r="AD131" s="10">
        <v>25.24037931415122</v>
      </c>
      <c r="AE131" s="10">
        <v>-56.567551219612874</v>
      </c>
      <c r="AF131" s="10">
        <v>-85.466069211602516</v>
      </c>
      <c r="AG131" s="10">
        <v>0.56357145309448242</v>
      </c>
      <c r="AH131" s="10">
        <v>-72.948773602605755</v>
      </c>
      <c r="AI131" s="10">
        <v>-66.033315502538159</v>
      </c>
      <c r="AJ131" s="10">
        <v>13.006666819254557</v>
      </c>
      <c r="AK131" s="10">
        <v>13.881250023841858</v>
      </c>
      <c r="AL131" s="10">
        <v>14.65049991607666</v>
      </c>
      <c r="AM131" s="10">
        <v>1.0266370539554599</v>
      </c>
      <c r="AN131" s="10">
        <v>13.157824273109435</v>
      </c>
      <c r="AO131" s="10">
        <v>16.703774023987581</v>
      </c>
      <c r="AP131" s="10">
        <v>12.59722580816574</v>
      </c>
      <c r="AQ131" s="10">
        <v>-0.27607133913480114</v>
      </c>
      <c r="AR131" s="10">
        <v>3.7645098447514437E-2</v>
      </c>
      <c r="AS131" s="10">
        <v>0.28030089344019848</v>
      </c>
      <c r="AT131" s="10">
        <v>87.683183088924963</v>
      </c>
      <c r="AU131" s="10">
        <v>-80.927639832060947</v>
      </c>
      <c r="AV131" s="10">
        <v>31.401660229945676</v>
      </c>
      <c r="AW131" s="10">
        <v>34.294556018421204</v>
      </c>
      <c r="AX131" s="10">
        <v>-85.760865785487894</v>
      </c>
      <c r="AY131" s="10">
        <v>-84.199180559510239</v>
      </c>
      <c r="AZ131" s="10">
        <v>13.727093091879539</v>
      </c>
      <c r="BA131" s="10">
        <v>-4.8670201059218085E-2</v>
      </c>
      <c r="BB131" s="10">
        <v>-85.244723553980961</v>
      </c>
      <c r="BC131" s="10">
        <v>13.900357620051771</v>
      </c>
      <c r="BD131" s="10">
        <v>14.095701451039918</v>
      </c>
      <c r="BE131" s="10">
        <v>-7.6829739245893036E-2</v>
      </c>
      <c r="BF131" s="10">
        <v>14.100412919138783</v>
      </c>
      <c r="BG131" s="10">
        <v>13.911716331944625</v>
      </c>
      <c r="BH131" s="10">
        <v>-6.2774344520865499E-2</v>
      </c>
      <c r="BI131" s="10">
        <v>49.843900708631004</v>
      </c>
      <c r="BJ131" s="10">
        <v>13.313083722506265</v>
      </c>
      <c r="BK131" s="10">
        <v>-1.7042289329100662E-2</v>
      </c>
      <c r="BL131" s="10">
        <v>-0.20005529908701192</v>
      </c>
      <c r="BM131" s="10">
        <v>8.6303523995386988E-2</v>
      </c>
      <c r="BN131" s="10">
        <v>-0.28635882308239891</v>
      </c>
      <c r="BO131" s="10">
        <v>-88.136898202190068</v>
      </c>
      <c r="BP131" s="10">
        <v>-87.079591326936765</v>
      </c>
      <c r="BQ131" s="10">
        <v>1590611.111111111</v>
      </c>
      <c r="BR131" s="10">
        <v>1582305</v>
      </c>
      <c r="BS131" s="10">
        <v>1262852.5</v>
      </c>
      <c r="BT131">
        <v>0.37865250951765583</v>
      </c>
      <c r="BU131">
        <v>0.38588957249076516</v>
      </c>
      <c r="BV131" s="10">
        <v>19.318187975685642</v>
      </c>
      <c r="BW131" s="10">
        <v>8.0826728151252603</v>
      </c>
      <c r="BX131" s="10">
        <v>8.0826728151252603</v>
      </c>
      <c r="BY131" s="10">
        <v>3.8028393134145824</v>
      </c>
      <c r="BZ131" s="10">
        <v>-86.980638737488789</v>
      </c>
      <c r="CA131" s="10">
        <v>-85.719528982352458</v>
      </c>
      <c r="CB131" s="10">
        <v>0</v>
      </c>
      <c r="CC131" s="10">
        <v>0</v>
      </c>
      <c r="CD131" s="10">
        <v>0</v>
      </c>
      <c r="CE131" s="10">
        <v>1</v>
      </c>
      <c r="CF131" s="10">
        <v>0</v>
      </c>
      <c r="CG131" s="10">
        <v>1</v>
      </c>
      <c r="CH131" s="10">
        <v>0</v>
      </c>
      <c r="CI131" s="10">
        <v>0</v>
      </c>
      <c r="CJ131" s="10">
        <v>0</v>
      </c>
      <c r="CK131" s="10">
        <v>0</v>
      </c>
      <c r="CL131" s="10">
        <v>0</v>
      </c>
      <c r="CM131" s="10">
        <v>0</v>
      </c>
      <c r="CN131" s="10">
        <v>0</v>
      </c>
      <c r="CO131" s="10">
        <v>0</v>
      </c>
      <c r="CP131" s="10">
        <v>0</v>
      </c>
      <c r="CQ131" s="10">
        <v>0</v>
      </c>
      <c r="CR131" s="10">
        <v>0</v>
      </c>
      <c r="CS131" s="10">
        <v>0</v>
      </c>
      <c r="CT131" s="10">
        <v>0</v>
      </c>
      <c r="CU131" s="10">
        <v>0</v>
      </c>
      <c r="CV131" s="10">
        <v>0</v>
      </c>
      <c r="CW131" s="10">
        <v>0</v>
      </c>
      <c r="CX131" s="10" t="s">
        <v>233</v>
      </c>
      <c r="CY131" s="1" t="str">
        <f>VLOOKUP(bovespa_diario_last_date_1[[#This Row],[Stock]],Patterns!H:J,2,0)</f>
        <v>NO_PATTERN</v>
      </c>
      <c r="CZ131" s="5">
        <f>IF(RIGHT(bovespa_diario_last_date_1[[#This Row],[PATTERN]],4)="Bull",1,IF(RIGHT(bovespa_diario_last_date_1[[#This Row],[PATTERN]],4)="Bear",-1,0))</f>
        <v>0</v>
      </c>
    </row>
    <row r="132" spans="1:104" x14ac:dyDescent="0.25">
      <c r="A132" s="4">
        <v>44491</v>
      </c>
      <c r="B132" s="10">
        <v>32.659999847412109</v>
      </c>
      <c r="C132" s="10">
        <v>30.889999389648438</v>
      </c>
      <c r="D132" s="10">
        <v>32.619998931884766</v>
      </c>
      <c r="E132" s="10">
        <v>32.020000457763672</v>
      </c>
      <c r="F132" s="10">
        <v>1296500</v>
      </c>
      <c r="G132" s="10">
        <v>32.020000457763672</v>
      </c>
      <c r="H132" s="10">
        <v>32.959999084472656</v>
      </c>
      <c r="I132" s="10">
        <v>-2.8519376602525903E-2</v>
      </c>
      <c r="J132" s="10">
        <v>-2.8933955399600576E-2</v>
      </c>
      <c r="K132" s="10">
        <v>0.59999847412109375</v>
      </c>
      <c r="L132" s="10">
        <v>1.1300010681152344</v>
      </c>
      <c r="M132" s="10">
        <v>4.000091552734375E-2</v>
      </c>
      <c r="N132" s="10">
        <v>1.856430939933389E-2</v>
      </c>
      <c r="O132" s="10">
        <v>1.8833399031064431</v>
      </c>
      <c r="P132" s="10">
        <v>6.6668362091985303E-2</v>
      </c>
      <c r="Q132" s="10">
        <v>0.29541400361744291</v>
      </c>
      <c r="R132" s="10">
        <v>0.45805347155852921</v>
      </c>
      <c r="S132" s="10">
        <v>-1.3339744796581742E-2</v>
      </c>
      <c r="T132" s="10">
        <v>-86.415009511529291</v>
      </c>
      <c r="U132" s="10">
        <v>47.934107999243516</v>
      </c>
      <c r="V132" s="10">
        <v>50.019829291811767</v>
      </c>
      <c r="W132" s="10">
        <v>36.557207425139261</v>
      </c>
      <c r="X132" s="10">
        <v>-1.3699989318847656</v>
      </c>
      <c r="Y132" s="10">
        <v>0.51666662428114152</v>
      </c>
      <c r="Z132" s="10">
        <v>-1296500</v>
      </c>
      <c r="AA132" s="10">
        <v>-6931600</v>
      </c>
      <c r="AB132" s="10">
        <v>-56.78837026388193</v>
      </c>
      <c r="AC132" s="10">
        <v>83.993421972918654</v>
      </c>
      <c r="AD132" s="10">
        <v>16.945899318042169</v>
      </c>
      <c r="AE132" s="10">
        <v>-82.040995512098462</v>
      </c>
      <c r="AF132" s="10">
        <v>-83.539799882694254</v>
      </c>
      <c r="AG132" s="10">
        <v>1.5114280155726842</v>
      </c>
      <c r="AH132" s="10">
        <v>11.994652718909588</v>
      </c>
      <c r="AI132" s="10">
        <v>62.530910033249647</v>
      </c>
      <c r="AJ132" s="10">
        <v>33.203333536783852</v>
      </c>
      <c r="AK132" s="10">
        <v>33.462500095367432</v>
      </c>
      <c r="AL132" s="10">
        <v>33.136000347137454</v>
      </c>
      <c r="AM132" s="10">
        <v>0.86523747749553426</v>
      </c>
      <c r="AN132" s="10">
        <v>37.735799970626829</v>
      </c>
      <c r="AO132" s="10">
        <v>34.866475302128521</v>
      </c>
      <c r="AP132" s="10">
        <v>31.405525392146387</v>
      </c>
      <c r="AQ132" s="10">
        <v>-8.8896777129017293E-2</v>
      </c>
      <c r="AR132" s="10">
        <v>1.9190351556297277E-2</v>
      </c>
      <c r="AS132" s="10">
        <v>0.10444682139439672</v>
      </c>
      <c r="AT132" s="10">
        <v>-83.532775828843725</v>
      </c>
      <c r="AU132" s="10">
        <v>-78.432449263277974</v>
      </c>
      <c r="AV132" s="10">
        <v>24.506666797662461</v>
      </c>
      <c r="AW132" s="10">
        <v>40.565636005999181</v>
      </c>
      <c r="AX132" s="10">
        <v>-88.000904867751373</v>
      </c>
      <c r="AY132" s="10">
        <v>78.599470700463542</v>
      </c>
      <c r="AZ132" s="10">
        <v>33.2698062658243</v>
      </c>
      <c r="BA132" s="10">
        <v>-3.9032035921086207E-2</v>
      </c>
      <c r="BB132" s="10">
        <v>67.527210054464362</v>
      </c>
      <c r="BC132" s="10">
        <v>33.330753970186464</v>
      </c>
      <c r="BD132" s="10">
        <v>33.552752859324379</v>
      </c>
      <c r="BE132" s="10">
        <v>-4.7868593992760881E-2</v>
      </c>
      <c r="BF132" s="10">
        <v>33.687129372351798</v>
      </c>
      <c r="BG132" s="10">
        <v>34.335538008563397</v>
      </c>
      <c r="BH132" s="10">
        <v>-7.231535033405323E-2</v>
      </c>
      <c r="BI132" s="10">
        <v>-68.500143624830983</v>
      </c>
      <c r="BJ132" s="10">
        <v>36.435089079629464</v>
      </c>
      <c r="BK132" s="10">
        <v>-0.13788533912388795</v>
      </c>
      <c r="BL132" s="10">
        <v>-0.35637540216533381</v>
      </c>
      <c r="BM132" s="10">
        <v>-0.39023553478112039</v>
      </c>
      <c r="BN132" s="10">
        <v>3.3860132615786576E-2</v>
      </c>
      <c r="BO132" s="10">
        <v>-81.458458351996782</v>
      </c>
      <c r="BP132" s="10">
        <v>82.655403551623564</v>
      </c>
      <c r="BQ132" s="10">
        <v>1201122.2222222222</v>
      </c>
      <c r="BR132" s="10">
        <v>2202500</v>
      </c>
      <c r="BS132" s="10">
        <v>994120</v>
      </c>
      <c r="BT132">
        <v>7.940722102478226E-2</v>
      </c>
      <c r="BU132">
        <v>-0.41135073779795683</v>
      </c>
      <c r="BV132" s="10">
        <v>24.511950509895041</v>
      </c>
      <c r="BW132" s="10">
        <v>46.561640654324954</v>
      </c>
      <c r="BX132" s="10">
        <v>46.561640654324954</v>
      </c>
      <c r="BY132" s="10">
        <v>58.739535373961054</v>
      </c>
      <c r="BZ132" s="10">
        <v>79.029609492069554</v>
      </c>
      <c r="CA132" s="10">
        <v>86.742302239997429</v>
      </c>
      <c r="CB132" s="10">
        <v>1</v>
      </c>
      <c r="CC132" s="10">
        <v>0</v>
      </c>
      <c r="CD132" s="10">
        <v>1</v>
      </c>
      <c r="CE132" s="10">
        <v>0</v>
      </c>
      <c r="CF132" s="10">
        <v>0</v>
      </c>
      <c r="CG132" s="10">
        <v>0</v>
      </c>
      <c r="CH132" s="10">
        <v>0</v>
      </c>
      <c r="CI132" s="10">
        <v>0</v>
      </c>
      <c r="CJ132" s="10">
        <v>0</v>
      </c>
      <c r="CK132" s="10">
        <v>-1</v>
      </c>
      <c r="CL132" s="10">
        <v>0</v>
      </c>
      <c r="CM132" s="10">
        <v>-1</v>
      </c>
      <c r="CN132" s="10">
        <v>0</v>
      </c>
      <c r="CO132" s="10">
        <v>0</v>
      </c>
      <c r="CP132" s="10">
        <v>0</v>
      </c>
      <c r="CQ132" s="10">
        <v>0</v>
      </c>
      <c r="CR132" s="10">
        <v>0</v>
      </c>
      <c r="CS132" s="10">
        <v>0</v>
      </c>
      <c r="CT132" s="10">
        <v>0</v>
      </c>
      <c r="CU132" s="10">
        <v>0</v>
      </c>
      <c r="CV132" s="10">
        <v>0</v>
      </c>
      <c r="CW132" s="10">
        <v>0</v>
      </c>
      <c r="CX132" s="10" t="s">
        <v>234</v>
      </c>
      <c r="CY132" s="1" t="str">
        <f>VLOOKUP(bovespa_diario_last_date_1[[#This Row],[Stock]],Patterns!H:J,2,0)</f>
        <v>CDLBELTHOLD_Bear</v>
      </c>
      <c r="CZ132" s="5">
        <f>IF(RIGHT(bovespa_diario_last_date_1[[#This Row],[PATTERN]],4)="Bull",1,IF(RIGHT(bovespa_diario_last_date_1[[#This Row],[PATTERN]],4)="Bear",-1,0))</f>
        <v>-1</v>
      </c>
    </row>
    <row r="133" spans="1:104" x14ac:dyDescent="0.25">
      <c r="A133" s="4">
        <v>44491</v>
      </c>
      <c r="B133" s="10">
        <v>21.090000152587891</v>
      </c>
      <c r="C133" s="10">
        <v>19.840000152587891</v>
      </c>
      <c r="D133" s="10">
        <v>20.920000076293945</v>
      </c>
      <c r="E133" s="10">
        <v>20.829999923706055</v>
      </c>
      <c r="F133" s="10">
        <v>376000</v>
      </c>
      <c r="G133" s="10">
        <v>20.829999923706055</v>
      </c>
      <c r="H133" s="10">
        <v>21.229999542236328</v>
      </c>
      <c r="I133" s="10">
        <v>-1.8841244802407453E-2</v>
      </c>
      <c r="J133" s="10">
        <v>-1.9021002542865647E-2</v>
      </c>
      <c r="K133" s="10">
        <v>9.0000152587890625E-2</v>
      </c>
      <c r="L133" s="10">
        <v>0.98999977111816406</v>
      </c>
      <c r="M133" s="10">
        <v>0.17000007629394531</v>
      </c>
      <c r="N133" s="10">
        <v>4.3113845551085326E-3</v>
      </c>
      <c r="O133" s="10">
        <v>10.999978807273344</v>
      </c>
      <c r="P133" s="10">
        <v>1.8888865341414827</v>
      </c>
      <c r="Q133" s="10">
        <v>0.32647306345807453</v>
      </c>
      <c r="R133" s="10">
        <v>0.31786143788320953</v>
      </c>
      <c r="S133" s="10">
        <v>-3.5372704684402567E-2</v>
      </c>
      <c r="T133" s="10">
        <v>-82.369609060522066</v>
      </c>
      <c r="U133" s="10">
        <v>-75.213203422650224</v>
      </c>
      <c r="V133" s="10">
        <v>-46.762659610568512</v>
      </c>
      <c r="W133" s="10">
        <v>-62.227165110781769</v>
      </c>
      <c r="X133" s="10">
        <v>-1.3299999237060547</v>
      </c>
      <c r="Y133" s="10">
        <v>-0.3488888210720486</v>
      </c>
      <c r="Z133" s="10">
        <v>-376000</v>
      </c>
      <c r="AA133" s="10">
        <v>10034200</v>
      </c>
      <c r="AB133" s="10">
        <v>-77.934029238684488</v>
      </c>
      <c r="AC133" s="10">
        <v>-70.370970008137405</v>
      </c>
      <c r="AD133" s="10">
        <v>19.464578878838363</v>
      </c>
      <c r="AE133" s="10">
        <v>82.406677171775684</v>
      </c>
      <c r="AF133" s="10">
        <v>-80.72063484020029</v>
      </c>
      <c r="AG133" s="10">
        <v>0.74714292798723492</v>
      </c>
      <c r="AH133" s="10">
        <v>21.629877473133192</v>
      </c>
      <c r="AI133" s="10">
        <v>-64.951386483164839</v>
      </c>
      <c r="AJ133" s="10">
        <v>21.263333002726238</v>
      </c>
      <c r="AK133" s="10">
        <v>21.723750114440918</v>
      </c>
      <c r="AL133" s="10">
        <v>22.050000190734863</v>
      </c>
      <c r="AM133" s="10">
        <v>0.59613684282485124</v>
      </c>
      <c r="AN133" s="10">
        <v>21.140444879531859</v>
      </c>
      <c r="AO133" s="10">
        <v>23.242273876384566</v>
      </c>
      <c r="AP133" s="10">
        <v>20.857726505085161</v>
      </c>
      <c r="AQ133" s="10">
        <v>-0.11580767938136995</v>
      </c>
      <c r="AR133" s="10">
        <v>-1.3310888852933332E-3</v>
      </c>
      <c r="AS133" s="10">
        <v>0.10814273699196439</v>
      </c>
      <c r="AT133" s="10">
        <v>-81.368476863159515</v>
      </c>
      <c r="AU133" s="10">
        <v>-60.565161734830887</v>
      </c>
      <c r="AV133" s="10">
        <v>9.5255183247598723</v>
      </c>
      <c r="AW133" s="10">
        <v>28.824087707817426</v>
      </c>
      <c r="AX133" s="10">
        <v>-87.241777018893856</v>
      </c>
      <c r="AY133" s="10">
        <v>-57.338100152505028</v>
      </c>
      <c r="AZ133" s="10">
        <v>21.622707837412698</v>
      </c>
      <c r="BA133" s="10">
        <v>-3.8056068968319277E-2</v>
      </c>
      <c r="BB133" s="10">
        <v>-64.190639958944161</v>
      </c>
      <c r="BC133" s="10">
        <v>21.770039600670348</v>
      </c>
      <c r="BD133" s="10">
        <v>22.103847178062729</v>
      </c>
      <c r="BE133" s="10">
        <v>-6.1154453145577957E-2</v>
      </c>
      <c r="BF133" s="10">
        <v>22.208991865263474</v>
      </c>
      <c r="BG133" s="10">
        <v>22.253458245656532</v>
      </c>
      <c r="BH133" s="10">
        <v>-6.8336933613258349E-2</v>
      </c>
      <c r="BI133" s="10">
        <v>-45.440672386790588</v>
      </c>
      <c r="BJ133" s="10">
        <v>21.756140800426895</v>
      </c>
      <c r="BK133" s="10">
        <v>-4.4461876145607877E-2</v>
      </c>
      <c r="BL133" s="10">
        <v>-0.43895226459312653</v>
      </c>
      <c r="BM133" s="10">
        <v>-0.32196592862015416</v>
      </c>
      <c r="BN133" s="10">
        <v>-0.11698633597297237</v>
      </c>
      <c r="BO133" s="10">
        <v>-73.915366091239079</v>
      </c>
      <c r="BP133" s="10">
        <v>80.865858012834195</v>
      </c>
      <c r="BQ133" s="10">
        <v>297622.22222222225</v>
      </c>
      <c r="BR133" s="10">
        <v>354130</v>
      </c>
      <c r="BS133" s="10">
        <v>427229</v>
      </c>
      <c r="BT133">
        <v>0.26334652430374073</v>
      </c>
      <c r="BU133">
        <v>6.1756981899302454E-2</v>
      </c>
      <c r="BV133" s="10">
        <v>30.841123161279743</v>
      </c>
      <c r="BW133" s="10">
        <v>27.558165426325303</v>
      </c>
      <c r="BX133" s="10">
        <v>27.558165426325303</v>
      </c>
      <c r="BY133" s="10">
        <v>30.096814615038699</v>
      </c>
      <c r="BZ133" s="10">
        <v>-85.068346353634468</v>
      </c>
      <c r="CA133" s="10">
        <v>82.686978617590754</v>
      </c>
      <c r="CB133" s="10">
        <v>0</v>
      </c>
      <c r="CC133" s="10">
        <v>0</v>
      </c>
      <c r="CD133" s="10">
        <v>0</v>
      </c>
      <c r="CE133" s="10">
        <v>0</v>
      </c>
      <c r="CF133" s="10">
        <v>0</v>
      </c>
      <c r="CG133" s="10">
        <v>0</v>
      </c>
      <c r="CH133" s="10">
        <v>0</v>
      </c>
      <c r="CI133" s="10">
        <v>0</v>
      </c>
      <c r="CJ133" s="10">
        <v>0</v>
      </c>
      <c r="CK133" s="10">
        <v>0</v>
      </c>
      <c r="CL133" s="10">
        <v>0</v>
      </c>
      <c r="CM133" s="10">
        <v>0</v>
      </c>
      <c r="CN133" s="10">
        <v>0</v>
      </c>
      <c r="CO133" s="10">
        <v>0</v>
      </c>
      <c r="CP133" s="10">
        <v>0</v>
      </c>
      <c r="CQ133" s="10">
        <v>0</v>
      </c>
      <c r="CR133" s="10">
        <v>0</v>
      </c>
      <c r="CS133" s="10">
        <v>0</v>
      </c>
      <c r="CT133" s="10">
        <v>0</v>
      </c>
      <c r="CU133" s="10">
        <v>0</v>
      </c>
      <c r="CV133" s="10">
        <v>0</v>
      </c>
      <c r="CW133" s="10">
        <v>0</v>
      </c>
      <c r="CX133" s="10" t="s">
        <v>235</v>
      </c>
      <c r="CY133" s="1" t="str">
        <f>VLOOKUP(bovespa_diario_last_date_1[[#This Row],[Stock]],Patterns!H:J,2,0)</f>
        <v>CDLBELTHOLD_Bear</v>
      </c>
      <c r="CZ133" s="5">
        <f>IF(RIGHT(bovespa_diario_last_date_1[[#This Row],[PATTERN]],4)="Bull",1,IF(RIGHT(bovespa_diario_last_date_1[[#This Row],[PATTERN]],4)="Bear",-1,0))</f>
        <v>-1</v>
      </c>
    </row>
    <row r="134" spans="1:104" x14ac:dyDescent="0.25">
      <c r="A134" s="4">
        <v>44491</v>
      </c>
      <c r="B134" s="10">
        <v>10.630000114440918</v>
      </c>
      <c r="C134" s="10">
        <v>9.8299999237060547</v>
      </c>
      <c r="D134" s="10">
        <v>10.470000267028809</v>
      </c>
      <c r="E134" s="10">
        <v>10.329999923706055</v>
      </c>
      <c r="F134" s="10">
        <v>1579400</v>
      </c>
      <c r="G134" s="10">
        <v>10.329999923706055</v>
      </c>
      <c r="H134" s="10">
        <v>10.640000343322754</v>
      </c>
      <c r="I134" s="10">
        <v>-2.9135376843408056E-2</v>
      </c>
      <c r="J134" s="10">
        <v>-2.9568240434794307E-2</v>
      </c>
      <c r="K134" s="10">
        <v>0.14000034332275391</v>
      </c>
      <c r="L134" s="10">
        <v>0.5</v>
      </c>
      <c r="M134" s="10">
        <v>0.15999984741210938</v>
      </c>
      <c r="N134" s="10">
        <v>1.3461571349899849E-2</v>
      </c>
      <c r="O134" s="10">
        <v>3.5714198132165311</v>
      </c>
      <c r="P134" s="10">
        <v>1.1428532503184583</v>
      </c>
      <c r="Q134" s="10">
        <v>0.58775118832173012</v>
      </c>
      <c r="R134" s="10">
        <v>0.47931178972212557</v>
      </c>
      <c r="S134" s="10">
        <v>-2.5801761359851447E-2</v>
      </c>
      <c r="T134" s="10">
        <v>-82.965000784203824</v>
      </c>
      <c r="U134" s="10">
        <v>-77.804328077366506</v>
      </c>
      <c r="V134" s="10">
        <v>-9.3478426816124358</v>
      </c>
      <c r="W134" s="10">
        <v>-23.079420992834361</v>
      </c>
      <c r="X134" s="10">
        <v>-1.2300004959106445</v>
      </c>
      <c r="Y134" s="10">
        <v>0.30666648017035592</v>
      </c>
      <c r="Z134" s="10">
        <v>-1579400</v>
      </c>
      <c r="AA134" s="10">
        <v>127190800</v>
      </c>
      <c r="AB134" s="10">
        <v>-73.043970507754352</v>
      </c>
      <c r="AC134" s="10">
        <v>-12.713202439346265</v>
      </c>
      <c r="AD134" s="10">
        <v>27.177786542102297</v>
      </c>
      <c r="AE134" s="10">
        <v>77.340273692977945</v>
      </c>
      <c r="AF134" s="10">
        <v>-80.991141332322513</v>
      </c>
      <c r="AG134" s="10">
        <v>0.53500005177089149</v>
      </c>
      <c r="AH134" s="10">
        <v>-54.896931977359408</v>
      </c>
      <c r="AI134" s="10">
        <v>-71.022598546401767</v>
      </c>
      <c r="AJ134" s="10">
        <v>10.683333396911621</v>
      </c>
      <c r="AK134" s="10">
        <v>11.28125</v>
      </c>
      <c r="AL134" s="10">
        <v>11.22950005531311</v>
      </c>
      <c r="AM134" s="10">
        <v>0.48321803123035972</v>
      </c>
      <c r="AN134" s="10">
        <v>11.803765015602112</v>
      </c>
      <c r="AO134" s="10">
        <v>12.195936117773829</v>
      </c>
      <c r="AP134" s="10">
        <v>10.263063992852391</v>
      </c>
      <c r="AQ134" s="10">
        <v>-0.18063274035323904</v>
      </c>
      <c r="AR134" s="10">
        <v>6.4797610211064843E-3</v>
      </c>
      <c r="AS134" s="10">
        <v>0.17212450379809399</v>
      </c>
      <c r="AT134" s="10">
        <v>-54.539715658458633</v>
      </c>
      <c r="AU134" s="10">
        <v>-69.429450168876826</v>
      </c>
      <c r="AV134" s="10">
        <v>6.6210969640258526</v>
      </c>
      <c r="AW134" s="10">
        <v>29.686815818974253</v>
      </c>
      <c r="AX134" s="10">
        <v>-87.967902652811716</v>
      </c>
      <c r="AY134" s="10">
        <v>69.989548404354693</v>
      </c>
      <c r="AZ134" s="10">
        <v>11.05561119832228</v>
      </c>
      <c r="BA134" s="10">
        <v>-7.0243105515522666E-2</v>
      </c>
      <c r="BB134" s="10">
        <v>-33.499594444093233</v>
      </c>
      <c r="BC134" s="10">
        <v>11.149357669333934</v>
      </c>
      <c r="BD134" s="10">
        <v>11.423858463931046</v>
      </c>
      <c r="BE134" s="10">
        <v>-0.10589143739630846</v>
      </c>
      <c r="BF134" s="10">
        <v>11.590786062714271</v>
      </c>
      <c r="BG134" s="10">
        <v>12.300790866889471</v>
      </c>
      <c r="BH134" s="10">
        <v>-0.19078324857105744</v>
      </c>
      <c r="BI134" s="10">
        <v>-61.113571709302995</v>
      </c>
      <c r="BJ134" s="10">
        <v>11.638797383115362</v>
      </c>
      <c r="BK134" s="10">
        <v>-0.12669869013317039</v>
      </c>
      <c r="BL134" s="10">
        <v>-0.44142839338033646</v>
      </c>
      <c r="BM134" s="10">
        <v>-0.44328479902390872</v>
      </c>
      <c r="BN134" s="10">
        <v>1.8564056435722565E-3</v>
      </c>
      <c r="BO134" s="10">
        <v>-87.41992335468322</v>
      </c>
      <c r="BP134" s="10">
        <v>80.906398787366001</v>
      </c>
      <c r="BQ134" s="10">
        <v>1197666.6666666667</v>
      </c>
      <c r="BR134" s="10">
        <v>1359680</v>
      </c>
      <c r="BS134" s="10">
        <v>3340161</v>
      </c>
      <c r="BT134">
        <v>0.31873086557194541</v>
      </c>
      <c r="BU134">
        <v>0.16159684631678051</v>
      </c>
      <c r="BV134" s="10">
        <v>22.026427276256285</v>
      </c>
      <c r="BW134" s="10">
        <v>26.224612849120174</v>
      </c>
      <c r="BX134" s="10">
        <v>26.224612849120174</v>
      </c>
      <c r="BY134" s="10">
        <v>37.322138048815887</v>
      </c>
      <c r="BZ134" s="10">
        <v>-88.160304728031875</v>
      </c>
      <c r="CA134" s="10">
        <v>86.384912106703084</v>
      </c>
      <c r="CB134" s="10">
        <v>0</v>
      </c>
      <c r="CC134" s="10">
        <v>0</v>
      </c>
      <c r="CD134" s="10">
        <v>0</v>
      </c>
      <c r="CE134" s="10">
        <v>0</v>
      </c>
      <c r="CF134" s="10">
        <v>0</v>
      </c>
      <c r="CG134" s="10">
        <v>0</v>
      </c>
      <c r="CH134" s="10">
        <v>0</v>
      </c>
      <c r="CI134" s="10">
        <v>0</v>
      </c>
      <c r="CJ134" s="10">
        <v>0</v>
      </c>
      <c r="CK134" s="10">
        <v>0</v>
      </c>
      <c r="CL134" s="10">
        <v>0</v>
      </c>
      <c r="CM134" s="10">
        <v>0</v>
      </c>
      <c r="CN134" s="10">
        <v>0</v>
      </c>
      <c r="CO134" s="10">
        <v>0</v>
      </c>
      <c r="CP134" s="10">
        <v>0</v>
      </c>
      <c r="CQ134" s="10">
        <v>0</v>
      </c>
      <c r="CR134" s="10">
        <v>0</v>
      </c>
      <c r="CS134" s="10">
        <v>0</v>
      </c>
      <c r="CT134" s="10">
        <v>0</v>
      </c>
      <c r="CU134" s="10">
        <v>0</v>
      </c>
      <c r="CV134" s="10">
        <v>0</v>
      </c>
      <c r="CW134" s="10">
        <v>0</v>
      </c>
      <c r="CX134" s="10" t="s">
        <v>236</v>
      </c>
      <c r="CY134" s="1" t="str">
        <f>VLOOKUP(bovespa_diario_last_date_1[[#This Row],[Stock]],Patterns!H:J,2,0)</f>
        <v>NO_PATTERN</v>
      </c>
      <c r="CZ134" s="5">
        <f>IF(RIGHT(bovespa_diario_last_date_1[[#This Row],[PATTERN]],4)="Bull",1,IF(RIGHT(bovespa_diario_last_date_1[[#This Row],[PATTERN]],4)="Bear",-1,0))</f>
        <v>0</v>
      </c>
    </row>
    <row r="135" spans="1:104" x14ac:dyDescent="0.25">
      <c r="A135" s="4">
        <v>44491</v>
      </c>
      <c r="B135" s="10">
        <v>1.4199999570846558</v>
      </c>
      <c r="C135" s="10">
        <v>1.309999942779541</v>
      </c>
      <c r="D135" s="10">
        <v>1.3899999856948853</v>
      </c>
      <c r="E135" s="10">
        <v>1.3700000047683716</v>
      </c>
      <c r="F135" s="10">
        <v>2476900</v>
      </c>
      <c r="G135" s="10">
        <v>1.3700000047683716</v>
      </c>
      <c r="H135" s="10">
        <v>1.3899999856948853</v>
      </c>
      <c r="I135" s="10">
        <v>-1.4388475634778741E-2</v>
      </c>
      <c r="J135" s="10">
        <v>-1.4492993530554128E-2</v>
      </c>
      <c r="K135" s="10">
        <v>1.9999980926513672E-2</v>
      </c>
      <c r="L135" s="10">
        <v>6.0000061988830566E-2</v>
      </c>
      <c r="M135" s="10">
        <v>2.9999971389770508E-2</v>
      </c>
      <c r="N135" s="10">
        <v>1.449273985189887E-2</v>
      </c>
      <c r="O135" s="10">
        <v>3.0000059604701619</v>
      </c>
      <c r="P135" s="10">
        <v>1.5</v>
      </c>
      <c r="Q135" s="10">
        <v>0.70688565515126323</v>
      </c>
      <c r="R135" s="10">
        <v>0.53368799076040918</v>
      </c>
      <c r="S135" s="10">
        <v>-3.5846098070498433E-2</v>
      </c>
      <c r="T135" s="10">
        <v>-80.648342313516025</v>
      </c>
      <c r="U135" s="10">
        <v>-56.320961042939722</v>
      </c>
      <c r="V135" s="10">
        <v>-18.56945014033672</v>
      </c>
      <c r="W135" s="10">
        <v>-8.6827000289239642</v>
      </c>
      <c r="X135" s="10">
        <v>-7.0000052452087402E-2</v>
      </c>
      <c r="Y135" s="10">
        <v>4.4444666968451608E-3</v>
      </c>
      <c r="Z135" s="10">
        <v>-2476900</v>
      </c>
      <c r="AA135" s="10">
        <v>22059100</v>
      </c>
      <c r="AB135" s="10">
        <v>-19.051445909240236</v>
      </c>
      <c r="AC135" s="10">
        <v>72.137680206465944</v>
      </c>
      <c r="AD135" s="10">
        <v>15.092071569096294</v>
      </c>
      <c r="AE135" s="10">
        <v>81.620411901370488</v>
      </c>
      <c r="AF135" s="10">
        <v>40.227237402150706</v>
      </c>
      <c r="AG135" s="10">
        <v>7.6428600719996867E-2</v>
      </c>
      <c r="AH135" s="10">
        <v>73.986742158895851</v>
      </c>
      <c r="AI135" s="10">
        <v>-80.994961657603469</v>
      </c>
      <c r="AJ135" s="10">
        <v>1.4066666762034099</v>
      </c>
      <c r="AK135" s="10">
        <v>1.4387500286102295</v>
      </c>
      <c r="AL135" s="10">
        <v>1.4375000119209289</v>
      </c>
      <c r="AM135" s="10">
        <v>2.989016953264623E-2</v>
      </c>
      <c r="AN135" s="10">
        <v>1.6008500003814696</v>
      </c>
      <c r="AO135" s="10">
        <v>1.4972803509862214</v>
      </c>
      <c r="AP135" s="10">
        <v>1.3777196728556365</v>
      </c>
      <c r="AQ135" s="10">
        <v>-9.2905361879447076E-2</v>
      </c>
      <c r="AR135" s="10">
        <v>-5.6347942046686729E-3</v>
      </c>
      <c r="AS135" s="10">
        <v>8.3172644966323289E-2</v>
      </c>
      <c r="AT135" s="10">
        <v>-85.764332848629493</v>
      </c>
      <c r="AU135" s="10">
        <v>-70.309758569556436</v>
      </c>
      <c r="AV135" s="10">
        <v>19.12880354289095</v>
      </c>
      <c r="AW135" s="10">
        <v>37.994666962227178</v>
      </c>
      <c r="AX135" s="10">
        <v>-87.471160491813563</v>
      </c>
      <c r="AY135" s="10">
        <v>-21.244154338807729</v>
      </c>
      <c r="AZ135" s="10">
        <v>1.4272829049584472</v>
      </c>
      <c r="BA135" s="10">
        <v>-4.181233575963423E-2</v>
      </c>
      <c r="BB135" s="10">
        <v>-13.367121089069192</v>
      </c>
      <c r="BC135" s="10">
        <v>1.4336837295453746</v>
      </c>
      <c r="BD135" s="10">
        <v>1.4501746633140551</v>
      </c>
      <c r="BE135" s="10">
        <v>-5.8521648369803315E-2</v>
      </c>
      <c r="BF135" s="10">
        <v>1.4606775956213318</v>
      </c>
      <c r="BG135" s="10">
        <v>1.5181166737619489</v>
      </c>
      <c r="BH135" s="10">
        <v>-0.10811435655331965</v>
      </c>
      <c r="BI135" s="10">
        <v>-66.476314338687573</v>
      </c>
      <c r="BJ135" s="10">
        <v>1.6119026561519247</v>
      </c>
      <c r="BK135" s="10">
        <v>-0.1765712777675881</v>
      </c>
      <c r="BL135" s="10">
        <v>-2.6993866075957218E-2</v>
      </c>
      <c r="BM135" s="10">
        <v>-2.5640149058057317E-2</v>
      </c>
      <c r="BN135" s="10">
        <v>-1.3537170178999011E-3</v>
      </c>
      <c r="BO135" s="10">
        <v>-79.33973507522721</v>
      </c>
      <c r="BP135" s="10">
        <v>37.579554929623242</v>
      </c>
      <c r="BQ135" s="10">
        <v>2515588.888888889</v>
      </c>
      <c r="BR135" s="10">
        <v>1954455</v>
      </c>
      <c r="BS135" s="10">
        <v>3331832</v>
      </c>
      <c r="BT135">
        <v>-1.5379654863230674E-2</v>
      </c>
      <c r="BU135">
        <v>0.26730981270993714</v>
      </c>
      <c r="BV135" s="10">
        <v>22.222236939413005</v>
      </c>
      <c r="BW135" s="10">
        <v>22.407414299958692</v>
      </c>
      <c r="BX135" s="10">
        <v>22.407414299958692</v>
      </c>
      <c r="BY135" s="10">
        <v>32.885819688512377</v>
      </c>
      <c r="BZ135" s="10">
        <v>47.387654576718546</v>
      </c>
      <c r="CA135" s="10">
        <v>85.271729296198615</v>
      </c>
      <c r="CB135" s="10">
        <v>0</v>
      </c>
      <c r="CC135" s="10">
        <v>0</v>
      </c>
      <c r="CD135" s="10">
        <v>0</v>
      </c>
      <c r="CE135" s="10">
        <v>0</v>
      </c>
      <c r="CF135" s="10">
        <v>0</v>
      </c>
      <c r="CG135" s="10">
        <v>0</v>
      </c>
      <c r="CH135" s="10">
        <v>-1</v>
      </c>
      <c r="CI135" s="10">
        <v>0</v>
      </c>
      <c r="CJ135" s="10">
        <v>-1</v>
      </c>
      <c r="CK135" s="10">
        <v>0</v>
      </c>
      <c r="CL135" s="10">
        <v>0</v>
      </c>
      <c r="CM135" s="10">
        <v>0</v>
      </c>
      <c r="CN135" s="10">
        <v>0</v>
      </c>
      <c r="CO135" s="10">
        <v>0</v>
      </c>
      <c r="CP135" s="10">
        <v>0</v>
      </c>
      <c r="CQ135" s="10">
        <v>0</v>
      </c>
      <c r="CR135" s="10">
        <v>0</v>
      </c>
      <c r="CS135" s="10">
        <v>0</v>
      </c>
      <c r="CT135" s="10">
        <v>0</v>
      </c>
      <c r="CU135" s="10">
        <v>0</v>
      </c>
      <c r="CV135" s="10">
        <v>0</v>
      </c>
      <c r="CW135" s="10">
        <v>0</v>
      </c>
      <c r="CX135" s="10" t="s">
        <v>237</v>
      </c>
      <c r="CY135" s="1" t="str">
        <f>VLOOKUP(bovespa_diario_last_date_1[[#This Row],[Stock]],Patterns!H:J,2,0)</f>
        <v>CDLHIKKAKE_Bear</v>
      </c>
      <c r="CZ135" s="5">
        <f>IF(RIGHT(bovespa_diario_last_date_1[[#This Row],[PATTERN]],4)="Bull",1,IF(RIGHT(bovespa_diario_last_date_1[[#This Row],[PATTERN]],4)="Bear",-1,0))</f>
        <v>-1</v>
      </c>
    </row>
    <row r="136" spans="1:104" x14ac:dyDescent="0.25">
      <c r="A136" s="4">
        <v>44491</v>
      </c>
      <c r="B136" s="10">
        <v>18.809999465942383</v>
      </c>
      <c r="C136" s="10">
        <v>17.600000381469727</v>
      </c>
      <c r="D136" s="10">
        <v>18.739999771118164</v>
      </c>
      <c r="E136" s="10">
        <v>18.319999694824219</v>
      </c>
      <c r="F136" s="10">
        <v>664400</v>
      </c>
      <c r="G136" s="10">
        <v>18.319999694824219</v>
      </c>
      <c r="H136" s="10">
        <v>18.819999694824219</v>
      </c>
      <c r="I136" s="10">
        <v>-2.6567481833568163E-2</v>
      </c>
      <c r="J136" s="10">
        <v>-2.6926775353812295E-2</v>
      </c>
      <c r="K136" s="10">
        <v>0.42000007629394531</v>
      </c>
      <c r="L136" s="10">
        <v>0.71999931335449219</v>
      </c>
      <c r="M136" s="10">
        <v>6.999969482421875E-2</v>
      </c>
      <c r="N136" s="10">
        <v>2.2665951556740817E-2</v>
      </c>
      <c r="O136" s="10">
        <v>1.7142837680119527</v>
      </c>
      <c r="P136" s="10">
        <v>0.16666590978242607</v>
      </c>
      <c r="Q136" s="10">
        <v>0.6330957007707495</v>
      </c>
      <c r="R136" s="10">
        <v>0.46912825530988606</v>
      </c>
      <c r="S136" s="10">
        <v>1.3740254872312733E-2</v>
      </c>
      <c r="T136" s="10">
        <v>-74.089195313329057</v>
      </c>
      <c r="U136" s="10">
        <v>-29.100534962046364</v>
      </c>
      <c r="V136" s="10">
        <v>40.218665984683042</v>
      </c>
      <c r="W136" s="10">
        <v>-37.648256997211156</v>
      </c>
      <c r="X136" s="10">
        <v>-0.40999984741210938</v>
      </c>
      <c r="Y136" s="10">
        <v>0.26444456312391496</v>
      </c>
      <c r="Z136" s="10">
        <v>-664400</v>
      </c>
      <c r="AA136" s="10">
        <v>20968485</v>
      </c>
      <c r="AB136" s="10">
        <v>-80.98390142840843</v>
      </c>
      <c r="AC136" s="10">
        <v>-21.723594291135491</v>
      </c>
      <c r="AD136" s="10">
        <v>22.540270491851512</v>
      </c>
      <c r="AE136" s="10">
        <v>-54.557830563162291</v>
      </c>
      <c r="AF136" s="10">
        <v>-68.536038262083153</v>
      </c>
      <c r="AG136" s="10">
        <v>0.92785699026925228</v>
      </c>
      <c r="AH136" s="10">
        <v>66.269792464626903</v>
      </c>
      <c r="AI136" s="10">
        <v>-39.244914412450264</v>
      </c>
      <c r="AJ136" s="10">
        <v>18.883333206176758</v>
      </c>
      <c r="AK136" s="10">
        <v>19.105000019073486</v>
      </c>
      <c r="AL136" s="10">
        <v>19.114999961853027</v>
      </c>
      <c r="AM136" s="10">
        <v>0.78080579039806408</v>
      </c>
      <c r="AN136" s="10">
        <v>23.666671738624572</v>
      </c>
      <c r="AO136" s="10">
        <v>20.676611542649155</v>
      </c>
      <c r="AP136" s="10">
        <v>17.553388381056898</v>
      </c>
      <c r="AQ136" s="10">
        <v>-0.12863602003720165</v>
      </c>
      <c r="AR136" s="10">
        <v>4.1845596426723981E-2</v>
      </c>
      <c r="AS136" s="10">
        <v>0.16339121987052774</v>
      </c>
      <c r="AT136" s="10">
        <v>-65.611820581975792</v>
      </c>
      <c r="AU136" s="10">
        <v>-38.667592721327701</v>
      </c>
      <c r="AV136" s="10">
        <v>25.026273678462175</v>
      </c>
      <c r="AW136" s="10">
        <v>39.420159903005924</v>
      </c>
      <c r="AX136" s="10">
        <v>-86.27522559382372</v>
      </c>
      <c r="AY136" s="10">
        <v>82.659857061399109</v>
      </c>
      <c r="AZ136" s="10">
        <v>18.943386156984722</v>
      </c>
      <c r="BA136" s="10">
        <v>-3.4027645881272765E-2</v>
      </c>
      <c r="BB136" s="10">
        <v>20.123216075019513</v>
      </c>
      <c r="BC136" s="10">
        <v>19.009609453838436</v>
      </c>
      <c r="BD136" s="10">
        <v>19.286542474827232</v>
      </c>
      <c r="BE136" s="10">
        <v>-5.2758886250204591E-2</v>
      </c>
      <c r="BF136" s="10">
        <v>19.469261509653411</v>
      </c>
      <c r="BG136" s="10">
        <v>20.402561154840971</v>
      </c>
      <c r="BH136" s="10">
        <v>-0.11367693748407205</v>
      </c>
      <c r="BI136" s="10">
        <v>-58.572710900626205</v>
      </c>
      <c r="BJ136" s="10">
        <v>21.249208607089475</v>
      </c>
      <c r="BK136" s="10">
        <v>-0.15989131883516455</v>
      </c>
      <c r="BL136" s="10">
        <v>-0.45965205581497415</v>
      </c>
      <c r="BM136" s="10">
        <v>-0.5305273517354181</v>
      </c>
      <c r="BN136" s="10">
        <v>7.0875295920443948E-2</v>
      </c>
      <c r="BO136" s="10">
        <v>-69.762315110482135</v>
      </c>
      <c r="BP136" s="10">
        <v>80.331489454766938</v>
      </c>
      <c r="BQ136" s="10">
        <v>551733.33333333337</v>
      </c>
      <c r="BR136" s="10">
        <v>536970</v>
      </c>
      <c r="BS136" s="10">
        <v>1206266.5</v>
      </c>
      <c r="BT136">
        <v>0.20420492991783457</v>
      </c>
      <c r="BU136">
        <v>0.23731307149375191</v>
      </c>
      <c r="BV136" s="10">
        <v>32.499954303098406</v>
      </c>
      <c r="BW136" s="10">
        <v>55.97218767359854</v>
      </c>
      <c r="BX136" s="10">
        <v>55.97218767359854</v>
      </c>
      <c r="BY136" s="10">
        <v>62.124006188862552</v>
      </c>
      <c r="BZ136" s="10">
        <v>82.249846337735505</v>
      </c>
      <c r="CA136" s="10">
        <v>83.334177309433869</v>
      </c>
      <c r="CB136" s="10">
        <v>1</v>
      </c>
      <c r="CC136" s="10">
        <v>0</v>
      </c>
      <c r="CD136" s="10">
        <v>1</v>
      </c>
      <c r="CE136" s="10">
        <v>0</v>
      </c>
      <c r="CF136" s="10">
        <v>0</v>
      </c>
      <c r="CG136" s="10">
        <v>0</v>
      </c>
      <c r="CH136" s="10">
        <v>0</v>
      </c>
      <c r="CI136" s="10">
        <v>0</v>
      </c>
      <c r="CJ136" s="10">
        <v>0</v>
      </c>
      <c r="CK136" s="10">
        <v>-1</v>
      </c>
      <c r="CL136" s="10">
        <v>0</v>
      </c>
      <c r="CM136" s="10">
        <v>-1</v>
      </c>
      <c r="CN136" s="10">
        <v>0</v>
      </c>
      <c r="CO136" s="10">
        <v>0</v>
      </c>
      <c r="CP136" s="10">
        <v>0</v>
      </c>
      <c r="CQ136" s="10">
        <v>0</v>
      </c>
      <c r="CR136" s="10">
        <v>0</v>
      </c>
      <c r="CS136" s="10">
        <v>0</v>
      </c>
      <c r="CT136" s="10">
        <v>0</v>
      </c>
      <c r="CU136" s="10">
        <v>0</v>
      </c>
      <c r="CV136" s="10">
        <v>0</v>
      </c>
      <c r="CW136" s="10">
        <v>0</v>
      </c>
      <c r="CX136" s="10" t="s">
        <v>238</v>
      </c>
      <c r="CY136" s="1" t="str">
        <f>VLOOKUP(bovespa_diario_last_date_1[[#This Row],[Stock]],Patterns!H:J,2,0)</f>
        <v>CDLBELTHOLD_Bear</v>
      </c>
      <c r="CZ136" s="5">
        <f>IF(RIGHT(bovespa_diario_last_date_1[[#This Row],[PATTERN]],4)="Bull",1,IF(RIGHT(bovespa_diario_last_date_1[[#This Row],[PATTERN]],4)="Bear",-1,0))</f>
        <v>-1</v>
      </c>
    </row>
    <row r="137" spans="1:104" x14ac:dyDescent="0.25">
      <c r="A137" s="4">
        <v>44491</v>
      </c>
      <c r="B137" s="10">
        <v>81.540000915527344</v>
      </c>
      <c r="C137" s="10">
        <v>76.319999694824219</v>
      </c>
      <c r="D137" s="10">
        <v>81.540000915527344</v>
      </c>
      <c r="E137" s="10">
        <v>80.419998168945313</v>
      </c>
      <c r="F137" s="10">
        <v>601200</v>
      </c>
      <c r="G137" s="10">
        <v>80.419998168945313</v>
      </c>
      <c r="H137" s="10">
        <v>81.550003051757813</v>
      </c>
      <c r="I137" s="10">
        <v>-1.3856589092894445E-2</v>
      </c>
      <c r="J137" s="10">
        <v>-1.3953487788465514E-2</v>
      </c>
      <c r="K137" s="10">
        <v>1.1200027465820313</v>
      </c>
      <c r="L137" s="10">
        <v>4.0999984741210938</v>
      </c>
      <c r="M137" s="10">
        <v>0</v>
      </c>
      <c r="N137" s="10">
        <v>1.3830609445704889E-2</v>
      </c>
      <c r="O137" s="10">
        <v>3.6607039461584048</v>
      </c>
      <c r="P137" s="10">
        <v>0</v>
      </c>
      <c r="Q137" s="10">
        <v>0.44944373434053675</v>
      </c>
      <c r="R137" s="10">
        <v>0.4798373871744917</v>
      </c>
      <c r="S137" s="10">
        <v>5.5214633883810767E-2</v>
      </c>
      <c r="T137" s="10">
        <v>-80.05959375238659</v>
      </c>
      <c r="U137" s="10">
        <v>56.273616670689186</v>
      </c>
      <c r="V137" s="10">
        <v>67.782172968180717</v>
      </c>
      <c r="W137" s="10">
        <v>28.346842602434283</v>
      </c>
      <c r="X137" s="10">
        <v>2.2599945068359375</v>
      </c>
      <c r="Y137" s="10">
        <v>3.6122207641601563</v>
      </c>
      <c r="Z137" s="10">
        <v>-601200</v>
      </c>
      <c r="AA137" s="10">
        <v>16419200</v>
      </c>
      <c r="AB137" s="10">
        <v>-76.725982073950689</v>
      </c>
      <c r="AC137" s="10">
        <v>-31.262798166796287</v>
      </c>
      <c r="AD137" s="10">
        <v>21.901406851737125</v>
      </c>
      <c r="AE137" s="10">
        <v>-83.593813406545507</v>
      </c>
      <c r="AF137" s="10">
        <v>-78.46595428479057</v>
      </c>
      <c r="AG137" s="10">
        <v>3.8578583853585378</v>
      </c>
      <c r="AH137" s="10">
        <v>81.791605823408887</v>
      </c>
      <c r="AI137" s="10">
        <v>-53.521437828288946</v>
      </c>
      <c r="AJ137" s="10">
        <v>82.220001220703125</v>
      </c>
      <c r="AK137" s="10">
        <v>82.602499008178711</v>
      </c>
      <c r="AL137" s="10">
        <v>80.566499328613276</v>
      </c>
      <c r="AM137" s="10">
        <v>2.8189418073082364</v>
      </c>
      <c r="AN137" s="10">
        <v>77.146346340179448</v>
      </c>
      <c r="AO137" s="10">
        <v>86.204382943229746</v>
      </c>
      <c r="AP137" s="10">
        <v>74.928615713996805</v>
      </c>
      <c r="AQ137" s="10">
        <v>-7.1927193558655289E-2</v>
      </c>
      <c r="AR137" s="10">
        <v>6.8283792339963512E-2</v>
      </c>
      <c r="AS137" s="10">
        <v>0.13995602791728026</v>
      </c>
      <c r="AT137" s="10">
        <v>37.941968830685987</v>
      </c>
      <c r="AU137" s="10">
        <v>-82.504040100404424</v>
      </c>
      <c r="AV137" s="10">
        <v>33.59047837642494</v>
      </c>
      <c r="AW137" s="10">
        <v>46.085885632159091</v>
      </c>
      <c r="AX137" s="10">
        <v>-87.269562459653372</v>
      </c>
      <c r="AY137" s="10">
        <v>85.55891487447488</v>
      </c>
      <c r="AZ137" s="10">
        <v>81.725780155511742</v>
      </c>
      <c r="BA137" s="10">
        <v>-1.623703079205821E-2</v>
      </c>
      <c r="BB137" s="10">
        <v>69.020620994949496</v>
      </c>
      <c r="BC137" s="10">
        <v>81.618268980948102</v>
      </c>
      <c r="BD137" s="10">
        <v>82.116205603599312</v>
      </c>
      <c r="BE137" s="10">
        <v>-2.109186114491856E-2</v>
      </c>
      <c r="BF137" s="10">
        <v>82.667399645568295</v>
      </c>
      <c r="BG137" s="10">
        <v>85.060574458431333</v>
      </c>
      <c r="BH137" s="10">
        <v>-5.7704257586989202E-2</v>
      </c>
      <c r="BI137" s="10">
        <v>-51.927854841668541</v>
      </c>
      <c r="BJ137" s="10">
        <v>76.154959234420602</v>
      </c>
      <c r="BK137" s="10">
        <v>5.3034556473935388E-2</v>
      </c>
      <c r="BL137" s="10">
        <v>-1.0491306646201934</v>
      </c>
      <c r="BM137" s="10">
        <v>-1.7789421842673456</v>
      </c>
      <c r="BN137" s="10">
        <v>0.72981151964715218</v>
      </c>
      <c r="BO137" s="10">
        <v>-84.257588317085265</v>
      </c>
      <c r="BP137" s="10">
        <v>86.587574724907967</v>
      </c>
      <c r="BQ137" s="10">
        <v>365622.22222222225</v>
      </c>
      <c r="BR137" s="10">
        <v>310840</v>
      </c>
      <c r="BS137" s="10">
        <v>399629.5</v>
      </c>
      <c r="BT137">
        <v>0.64432018476873498</v>
      </c>
      <c r="BU137">
        <v>0.93411401364045821</v>
      </c>
      <c r="BV137" s="10">
        <v>44.153720716826022</v>
      </c>
      <c r="BW137" s="10">
        <v>58.871648416635942</v>
      </c>
      <c r="BX137" s="10">
        <v>58.871648416635942</v>
      </c>
      <c r="BY137" s="10">
        <v>66.484980798981113</v>
      </c>
      <c r="BZ137" s="10">
        <v>-60.480675231433409</v>
      </c>
      <c r="CA137" s="10">
        <v>87.305283823109008</v>
      </c>
      <c r="CB137" s="10">
        <v>1</v>
      </c>
      <c r="CC137" s="10">
        <v>0</v>
      </c>
      <c r="CD137" s="10">
        <v>1</v>
      </c>
      <c r="CE137" s="10">
        <v>0</v>
      </c>
      <c r="CF137" s="10">
        <v>0</v>
      </c>
      <c r="CG137" s="10">
        <v>0</v>
      </c>
      <c r="CH137" s="10">
        <v>0</v>
      </c>
      <c r="CI137" s="10">
        <v>0</v>
      </c>
      <c r="CJ137" s="10">
        <v>0</v>
      </c>
      <c r="CK137" s="10">
        <v>-1</v>
      </c>
      <c r="CL137" s="10">
        <v>0</v>
      </c>
      <c r="CM137" s="10">
        <v>-1</v>
      </c>
      <c r="CN137" s="10">
        <v>0</v>
      </c>
      <c r="CO137" s="10">
        <v>0</v>
      </c>
      <c r="CP137" s="10">
        <v>0</v>
      </c>
      <c r="CQ137" s="10">
        <v>0</v>
      </c>
      <c r="CR137" s="10">
        <v>0</v>
      </c>
      <c r="CS137" s="10">
        <v>0</v>
      </c>
      <c r="CT137" s="10">
        <v>0</v>
      </c>
      <c r="CU137" s="10">
        <v>0</v>
      </c>
      <c r="CV137" s="10">
        <v>0</v>
      </c>
      <c r="CW137" s="10">
        <v>0</v>
      </c>
      <c r="CX137" s="10" t="s">
        <v>239</v>
      </c>
      <c r="CY137" s="1" t="str">
        <f>VLOOKUP(bovespa_diario_last_date_1[[#This Row],[Stock]],Patterns!H:J,2,0)</f>
        <v>NO_PATTERN</v>
      </c>
      <c r="CZ137" s="5">
        <f>IF(RIGHT(bovespa_diario_last_date_1[[#This Row],[PATTERN]],4)="Bull",1,IF(RIGHT(bovespa_diario_last_date_1[[#This Row],[PATTERN]],4)="Bear",-1,0))</f>
        <v>0</v>
      </c>
    </row>
    <row r="138" spans="1:104" x14ac:dyDescent="0.25">
      <c r="A138" s="4">
        <v>44491</v>
      </c>
      <c r="B138" s="10">
        <v>10.850000381469727</v>
      </c>
      <c r="C138" s="10">
        <v>9.9099998474121094</v>
      </c>
      <c r="D138" s="10">
        <v>10.760000228881836</v>
      </c>
      <c r="E138" s="10">
        <v>10.630000114440918</v>
      </c>
      <c r="F138" s="10">
        <v>3915400</v>
      </c>
      <c r="G138" s="10">
        <v>10.630000114440918</v>
      </c>
      <c r="H138" s="10">
        <v>10.890000343322754</v>
      </c>
      <c r="I138" s="10">
        <v>-2.3875135049123863E-2</v>
      </c>
      <c r="J138" s="10">
        <v>-2.4164765351592146E-2</v>
      </c>
      <c r="K138" s="10">
        <v>0.13000011444091797</v>
      </c>
      <c r="L138" s="10">
        <v>0.72000026702880859</v>
      </c>
      <c r="M138" s="10">
        <v>9.0000152587890625E-2</v>
      </c>
      <c r="N138" s="10">
        <v>1.2155223221536757E-2</v>
      </c>
      <c r="O138" s="10">
        <v>5.538458716942376</v>
      </c>
      <c r="P138" s="10">
        <v>0.69230825661152473</v>
      </c>
      <c r="Q138" s="10">
        <v>0.64139543939799704</v>
      </c>
      <c r="R138" s="10">
        <v>0.85823645702992857</v>
      </c>
      <c r="S138" s="10">
        <v>-7.8666832249504118E-2</v>
      </c>
      <c r="T138" s="10">
        <v>-86.388763679175469</v>
      </c>
      <c r="U138" s="10">
        <v>-81.82572221713167</v>
      </c>
      <c r="V138" s="10">
        <v>-46.501280808347637</v>
      </c>
      <c r="W138" s="10">
        <v>-69.431015794140365</v>
      </c>
      <c r="X138" s="10">
        <v>-1.369999885559082</v>
      </c>
      <c r="Y138" s="10">
        <v>6.1111026340060763E-2</v>
      </c>
      <c r="Z138" s="10">
        <v>-3915400</v>
      </c>
      <c r="AA138" s="10">
        <v>9347600</v>
      </c>
      <c r="AB138" s="10">
        <v>-85.07025571752169</v>
      </c>
      <c r="AC138" s="10">
        <v>-60.714644402282097</v>
      </c>
      <c r="AD138" s="10">
        <v>15.110210598202405</v>
      </c>
      <c r="AE138" s="10">
        <v>73.979088863963852</v>
      </c>
      <c r="AF138" s="10">
        <v>-73.264471607768343</v>
      </c>
      <c r="AG138" s="10">
        <v>0.70714289801461361</v>
      </c>
      <c r="AH138" s="10">
        <v>-82.522104246894529</v>
      </c>
      <c r="AI138" s="10">
        <v>-73.525008658431858</v>
      </c>
      <c r="AJ138" s="10">
        <v>10.956666946411133</v>
      </c>
      <c r="AK138" s="10">
        <v>11.863750100135803</v>
      </c>
      <c r="AL138" s="10">
        <v>12.044500207901001</v>
      </c>
      <c r="AM138" s="10">
        <v>0.86979415044487562</v>
      </c>
      <c r="AN138" s="10">
        <v>11.282584574222565</v>
      </c>
      <c r="AO138" s="10">
        <v>13.784088508790752</v>
      </c>
      <c r="AP138" s="10">
        <v>10.304911907011249</v>
      </c>
      <c r="AQ138" s="10">
        <v>-0.29671574415742352</v>
      </c>
      <c r="AR138" s="10">
        <v>3.0582145242692406E-2</v>
      </c>
      <c r="AS138" s="10">
        <v>0.28886018861099932</v>
      </c>
      <c r="AT138" s="10">
        <v>74.073304493271351</v>
      </c>
      <c r="AU138" s="10">
        <v>48.211504372740706</v>
      </c>
      <c r="AV138" s="10">
        <v>9.0233971151345571</v>
      </c>
      <c r="AW138" s="10">
        <v>32.192891113083192</v>
      </c>
      <c r="AX138" s="10">
        <v>-87.716601399591582</v>
      </c>
      <c r="AY138" s="10">
        <v>-7.9124454582518942</v>
      </c>
      <c r="AZ138" s="10">
        <v>11.581818980006114</v>
      </c>
      <c r="BA138" s="10">
        <v>-8.9540814235001209E-2</v>
      </c>
      <c r="BB138" s="10">
        <v>-56.711812671089135</v>
      </c>
      <c r="BC138" s="10">
        <v>11.724648259166599</v>
      </c>
      <c r="BD138" s="10">
        <v>12.075479273054306</v>
      </c>
      <c r="BE138" s="10">
        <v>-0.13598110470852168</v>
      </c>
      <c r="BF138" s="10">
        <v>12.261761596256235</v>
      </c>
      <c r="BG138" s="10">
        <v>12.952958525365331</v>
      </c>
      <c r="BH138" s="10">
        <v>-0.21852854053770515</v>
      </c>
      <c r="BI138" s="10">
        <v>-70.097433005743596</v>
      </c>
      <c r="BJ138" s="10">
        <v>12.179594034582795</v>
      </c>
      <c r="BK138" s="10">
        <v>-0.1457755318399992</v>
      </c>
      <c r="BL138" s="10">
        <v>-0.53711333708963593</v>
      </c>
      <c r="BM138" s="10">
        <v>-0.47620825521074606</v>
      </c>
      <c r="BN138" s="10">
        <v>-6.0905081878889877E-2</v>
      </c>
      <c r="BO138" s="10">
        <v>-87.901102618979891</v>
      </c>
      <c r="BP138" s="10">
        <v>79.870394933342624</v>
      </c>
      <c r="BQ138" s="10">
        <v>2527444.4444444445</v>
      </c>
      <c r="BR138" s="10">
        <v>3557830</v>
      </c>
      <c r="BS138" s="10">
        <v>3540495.5</v>
      </c>
      <c r="BT138">
        <v>0.54915373455840322</v>
      </c>
      <c r="BU138">
        <v>0.10050227245259058</v>
      </c>
      <c r="BV138" s="10">
        <v>24.573385393747021</v>
      </c>
      <c r="BW138" s="10">
        <v>17.964592733377277</v>
      </c>
      <c r="BX138" s="10">
        <v>17.964592733377277</v>
      </c>
      <c r="BY138" s="10">
        <v>27.837756974762311</v>
      </c>
      <c r="BZ138" s="10">
        <v>-80.628599330173003</v>
      </c>
      <c r="CA138" s="10">
        <v>77.708867594617018</v>
      </c>
      <c r="CB138" s="10">
        <v>0</v>
      </c>
      <c r="CC138" s="10">
        <v>0</v>
      </c>
      <c r="CD138" s="10">
        <v>0</v>
      </c>
      <c r="CE138" s="10">
        <v>0</v>
      </c>
      <c r="CF138" s="10">
        <v>0</v>
      </c>
      <c r="CG138" s="10">
        <v>0</v>
      </c>
      <c r="CH138" s="10">
        <v>0</v>
      </c>
      <c r="CI138" s="10">
        <v>0</v>
      </c>
      <c r="CJ138" s="10">
        <v>0</v>
      </c>
      <c r="CK138" s="10">
        <v>0</v>
      </c>
      <c r="CL138" s="10">
        <v>0</v>
      </c>
      <c r="CM138" s="10">
        <v>0</v>
      </c>
      <c r="CN138" s="10">
        <v>0</v>
      </c>
      <c r="CO138" s="10">
        <v>0</v>
      </c>
      <c r="CP138" s="10">
        <v>0</v>
      </c>
      <c r="CQ138" s="10">
        <v>0</v>
      </c>
      <c r="CR138" s="10">
        <v>0</v>
      </c>
      <c r="CS138" s="10">
        <v>0</v>
      </c>
      <c r="CT138" s="10">
        <v>0</v>
      </c>
      <c r="CU138" s="10">
        <v>0</v>
      </c>
      <c r="CV138" s="10">
        <v>0</v>
      </c>
      <c r="CW138" s="10">
        <v>0</v>
      </c>
      <c r="CX138" s="10" t="s">
        <v>240</v>
      </c>
      <c r="CY138" s="1" t="str">
        <f>VLOOKUP(bovespa_diario_last_date_1[[#This Row],[Stock]],Patterns!H:J,2,0)</f>
        <v>CDLHIKKAKE_Bear</v>
      </c>
      <c r="CZ138" s="5">
        <f>IF(RIGHT(bovespa_diario_last_date_1[[#This Row],[PATTERN]],4)="Bull",1,IF(RIGHT(bovespa_diario_last_date_1[[#This Row],[PATTERN]],4)="Bear",-1,0))</f>
        <v>-1</v>
      </c>
    </row>
    <row r="139" spans="1:104" x14ac:dyDescent="0.25">
      <c r="A139" s="4">
        <v>44491</v>
      </c>
      <c r="B139" s="10">
        <v>12.300000190734863</v>
      </c>
      <c r="C139" s="10">
        <v>11.079999923706055</v>
      </c>
      <c r="D139" s="10">
        <v>12.300000190734863</v>
      </c>
      <c r="E139" s="10">
        <v>11.789999961853027</v>
      </c>
      <c r="F139" s="10">
        <v>6371900</v>
      </c>
      <c r="G139" s="10">
        <v>11.789999961853027</v>
      </c>
      <c r="H139" s="10">
        <v>12.550000190734863</v>
      </c>
      <c r="I139" s="10">
        <v>-6.0557786241542177E-2</v>
      </c>
      <c r="J139" s="10">
        <v>-6.2468969462046525E-2</v>
      </c>
      <c r="K139" s="10">
        <v>0.51000022888183594</v>
      </c>
      <c r="L139" s="10">
        <v>0.71000003814697266</v>
      </c>
      <c r="M139" s="10">
        <v>0</v>
      </c>
      <c r="N139" s="10">
        <v>4.2341239157447551E-2</v>
      </c>
      <c r="O139" s="10">
        <v>1.3921563127601566</v>
      </c>
      <c r="P139" s="10">
        <v>0</v>
      </c>
      <c r="Q139" s="10">
        <v>0.44367797238412787</v>
      </c>
      <c r="R139" s="10">
        <v>0.54550277907615563</v>
      </c>
      <c r="S139" s="10">
        <v>-0.11372241010822509</v>
      </c>
      <c r="T139" s="10">
        <v>-86.604451368515825</v>
      </c>
      <c r="U139" s="10">
        <v>-77.554684050835164</v>
      </c>
      <c r="V139" s="10">
        <v>-30.524174876173536</v>
      </c>
      <c r="W139" s="10">
        <v>-51.966422693368493</v>
      </c>
      <c r="X139" s="10">
        <v>-1.6599998474121094</v>
      </c>
      <c r="Y139" s="10">
        <v>-1.6666730244954426E-2</v>
      </c>
      <c r="Z139" s="10">
        <v>-6371900</v>
      </c>
      <c r="AA139" s="10">
        <v>123311900</v>
      </c>
      <c r="AB139" s="10">
        <v>-81.589516615328833</v>
      </c>
      <c r="AC139" s="10">
        <v>51.082742243095446</v>
      </c>
      <c r="AD139" s="10">
        <v>18.861718831596239</v>
      </c>
      <c r="AE139" s="10">
        <v>4.6342257346759892</v>
      </c>
      <c r="AF139" s="10">
        <v>-47.40788872235882</v>
      </c>
      <c r="AG139" s="10">
        <v>0.83142845971243717</v>
      </c>
      <c r="AH139" s="10">
        <v>86.306493036394983</v>
      </c>
      <c r="AI139" s="10">
        <v>77.890482025951997</v>
      </c>
      <c r="AJ139" s="10">
        <v>12.566666603088379</v>
      </c>
      <c r="AK139" s="10">
        <v>13.504999995231628</v>
      </c>
      <c r="AL139" s="10">
        <v>13.610000038146973</v>
      </c>
      <c r="AM139" s="10">
        <v>0.70232693638378518</v>
      </c>
      <c r="AN139" s="10">
        <v>12.263182725906372</v>
      </c>
      <c r="AO139" s="10">
        <v>15.014653910914543</v>
      </c>
      <c r="AP139" s="10">
        <v>12.205346165379403</v>
      </c>
      <c r="AQ139" s="10">
        <v>-0.27350754533460564</v>
      </c>
      <c r="AR139" s="10">
        <v>-3.5228685739630491E-2</v>
      </c>
      <c r="AS139" s="10">
        <v>0.20641496970323539</v>
      </c>
      <c r="AT139" s="10">
        <v>85.949654358807308</v>
      </c>
      <c r="AU139" s="10">
        <v>73.360614761444182</v>
      </c>
      <c r="AV139" s="10">
        <v>8.5621094895495986</v>
      </c>
      <c r="AW139" s="10">
        <v>27.332507456534898</v>
      </c>
      <c r="AX139" s="10">
        <v>-88.350947037368925</v>
      </c>
      <c r="AY139" s="10">
        <v>56.516101336376991</v>
      </c>
      <c r="AZ139" s="10">
        <v>13.202779388395314</v>
      </c>
      <c r="BA139" s="10">
        <v>-0.11982862011139826</v>
      </c>
      <c r="BB139" s="10">
        <v>-14.447360500761203</v>
      </c>
      <c r="BC139" s="10">
        <v>13.335815108865141</v>
      </c>
      <c r="BD139" s="10">
        <v>13.600064988767793</v>
      </c>
      <c r="BE139" s="10">
        <v>-0.15352544807220495</v>
      </c>
      <c r="BF139" s="10">
        <v>13.72076158669087</v>
      </c>
      <c r="BG139" s="10">
        <v>14.077956122339261</v>
      </c>
      <c r="BH139" s="10">
        <v>-0.19405904731882939</v>
      </c>
      <c r="BI139" s="10">
        <v>-41.698834136342796</v>
      </c>
      <c r="BJ139" s="10">
        <v>12.564306200686124</v>
      </c>
      <c r="BK139" s="10">
        <v>-6.5674829630058731E-2</v>
      </c>
      <c r="BL139" s="10">
        <v>-0.38494647782572855</v>
      </c>
      <c r="BM139" s="10">
        <v>-0.27394088518251236</v>
      </c>
      <c r="BN139" s="10">
        <v>-0.11100559264321619</v>
      </c>
      <c r="BO139" s="10">
        <v>-88.192591060152182</v>
      </c>
      <c r="BP139" s="10">
        <v>74.910741802677009</v>
      </c>
      <c r="BQ139" s="10">
        <v>3064200</v>
      </c>
      <c r="BR139" s="10">
        <v>2374035</v>
      </c>
      <c r="BS139" s="10">
        <v>2838686.5</v>
      </c>
      <c r="BT139">
        <v>1.0794660922916259</v>
      </c>
      <c r="BU139">
        <v>1.6839958130356125</v>
      </c>
      <c r="BV139" s="10">
        <v>16.784868910378748</v>
      </c>
      <c r="BW139" s="10">
        <v>20.207206799370212</v>
      </c>
      <c r="BX139" s="10">
        <v>20.207206799370212</v>
      </c>
      <c r="BY139" s="10">
        <v>33.59060731587239</v>
      </c>
      <c r="BZ139" s="10">
        <v>-87.312457747766004</v>
      </c>
      <c r="CA139" s="10">
        <v>83.815739976711541</v>
      </c>
      <c r="CB139" s="10">
        <v>0</v>
      </c>
      <c r="CC139" s="10">
        <v>0</v>
      </c>
      <c r="CD139" s="10">
        <v>0</v>
      </c>
      <c r="CE139" s="10">
        <v>0</v>
      </c>
      <c r="CF139" s="10">
        <v>0</v>
      </c>
      <c r="CG139" s="10">
        <v>0</v>
      </c>
      <c r="CH139" s="10">
        <v>0</v>
      </c>
      <c r="CI139" s="10">
        <v>0</v>
      </c>
      <c r="CJ139" s="10">
        <v>0</v>
      </c>
      <c r="CK139" s="10">
        <v>0</v>
      </c>
      <c r="CL139" s="10">
        <v>0</v>
      </c>
      <c r="CM139" s="10">
        <v>0</v>
      </c>
      <c r="CN139" s="10">
        <v>0</v>
      </c>
      <c r="CO139" s="10">
        <v>0</v>
      </c>
      <c r="CP139" s="10">
        <v>0</v>
      </c>
      <c r="CQ139" s="10">
        <v>0</v>
      </c>
      <c r="CR139" s="10">
        <v>0</v>
      </c>
      <c r="CS139" s="10">
        <v>0</v>
      </c>
      <c r="CT139" s="10">
        <v>0</v>
      </c>
      <c r="CU139" s="10">
        <v>0</v>
      </c>
      <c r="CV139" s="10">
        <v>0</v>
      </c>
      <c r="CW139" s="10">
        <v>0</v>
      </c>
      <c r="CX139" s="10" t="s">
        <v>241</v>
      </c>
      <c r="CY139" s="1" t="str">
        <f>VLOOKUP(bovespa_diario_last_date_1[[#This Row],[Stock]],Patterns!H:J,2,0)</f>
        <v>CDLBELTHOLD_Bear</v>
      </c>
      <c r="CZ139" s="5">
        <f>IF(RIGHT(bovespa_diario_last_date_1[[#This Row],[PATTERN]],4)="Bull",1,IF(RIGHT(bovespa_diario_last_date_1[[#This Row],[PATTERN]],4)="Bear",-1,0))</f>
        <v>-1</v>
      </c>
    </row>
    <row r="140" spans="1:104" x14ac:dyDescent="0.25">
      <c r="A140" s="4">
        <v>44491</v>
      </c>
      <c r="B140" s="10">
        <v>12.75</v>
      </c>
      <c r="C140" s="10">
        <v>11.880000114440918</v>
      </c>
      <c r="D140" s="10">
        <v>12.399999618530273</v>
      </c>
      <c r="E140" s="10">
        <v>12.649999618530273</v>
      </c>
      <c r="F140" s="10">
        <v>1289000</v>
      </c>
      <c r="G140" s="10">
        <v>12.649999618530273</v>
      </c>
      <c r="H140" s="10">
        <v>12.409999847412109</v>
      </c>
      <c r="I140" s="10">
        <v>1.933922434078128E-2</v>
      </c>
      <c r="J140" s="10">
        <v>1.9154598096862704E-2</v>
      </c>
      <c r="K140" s="10">
        <v>0.25</v>
      </c>
      <c r="L140" s="10">
        <v>0.51999950408935547</v>
      </c>
      <c r="M140" s="10">
        <v>0.10000038146972656</v>
      </c>
      <c r="N140" s="10">
        <v>1.9960080448236842E-2</v>
      </c>
      <c r="O140" s="10">
        <v>2.0799980163574219</v>
      </c>
      <c r="P140" s="10">
        <v>0.40000152587890625</v>
      </c>
      <c r="Q140" s="10">
        <v>0.4471059416385767</v>
      </c>
      <c r="R140" s="10">
        <v>0.57322222944704448</v>
      </c>
      <c r="S140" s="10">
        <v>1.8349102369656752E-2</v>
      </c>
      <c r="T140" s="10">
        <v>-77.421116539086512</v>
      </c>
      <c r="U140" s="10">
        <v>-42.029203940682159</v>
      </c>
      <c r="V140" s="10">
        <v>68.181784211136645</v>
      </c>
      <c r="W140" s="10">
        <v>58.907436004752896</v>
      </c>
      <c r="X140" s="10">
        <v>-0.30000019073486328</v>
      </c>
      <c r="Y140" s="10">
        <v>1.1755554411146376</v>
      </c>
      <c r="Z140" s="10">
        <v>1289000</v>
      </c>
      <c r="AA140" s="10">
        <v>8703200</v>
      </c>
      <c r="AB140" s="10">
        <v>-19.884401253102794</v>
      </c>
      <c r="AC140" s="10">
        <v>73.420937448577476</v>
      </c>
      <c r="AD140" s="10">
        <v>24.912600920155025</v>
      </c>
      <c r="AE140" s="10">
        <v>-84.318237681817536</v>
      </c>
      <c r="AF140" s="10">
        <v>-83.306568473360045</v>
      </c>
      <c r="AG140" s="10">
        <v>0.60999986103602821</v>
      </c>
      <c r="AH140" s="10">
        <v>71.036319432919626</v>
      </c>
      <c r="AI140" s="10">
        <v>67.662642672880907</v>
      </c>
      <c r="AJ140" s="10">
        <v>12.75333309173584</v>
      </c>
      <c r="AK140" s="10">
        <v>13.038750052452087</v>
      </c>
      <c r="AL140" s="10">
        <v>12.404000043869019</v>
      </c>
      <c r="AM140" s="10">
        <v>0.71199049524034741</v>
      </c>
      <c r="AN140" s="10">
        <v>14.259741864204408</v>
      </c>
      <c r="AO140" s="10">
        <v>13.827981034349714</v>
      </c>
      <c r="AP140" s="10">
        <v>10.980019053388324</v>
      </c>
      <c r="AQ140" s="10">
        <v>-9.3121063347217925E-2</v>
      </c>
      <c r="AR140" s="10">
        <v>0.13201427790524906</v>
      </c>
      <c r="AS140" s="10">
        <v>0.22960028788205827</v>
      </c>
      <c r="AT140" s="10">
        <v>58.582850809525759</v>
      </c>
      <c r="AU140" s="10">
        <v>72.266537871301281</v>
      </c>
      <c r="AV140" s="10">
        <v>38.998383373766394</v>
      </c>
      <c r="AW140" s="10">
        <v>49.447534284056829</v>
      </c>
      <c r="AX140" s="10">
        <v>-87.540511297798261</v>
      </c>
      <c r="AY140" s="10">
        <v>83.738556970550846</v>
      </c>
      <c r="AZ140" s="10">
        <v>12.791846649791168</v>
      </c>
      <c r="BA140" s="10">
        <v>-1.1213204390386767E-2</v>
      </c>
      <c r="BB140" s="10">
        <v>61.325842889952924</v>
      </c>
      <c r="BC140" s="10">
        <v>12.741975487987512</v>
      </c>
      <c r="BD140" s="10">
        <v>12.687836457728155</v>
      </c>
      <c r="BE140" s="10">
        <v>-2.9910545722433325E-3</v>
      </c>
      <c r="BF140" s="10">
        <v>12.732063087542125</v>
      </c>
      <c r="BG140" s="10">
        <v>13.216200946279237</v>
      </c>
      <c r="BH140" s="10">
        <v>-4.4758999590764174E-2</v>
      </c>
      <c r="BI140" s="10">
        <v>-26.526194296655202</v>
      </c>
      <c r="BJ140" s="10">
        <v>14.467927542840618</v>
      </c>
      <c r="BK140" s="10">
        <v>-0.14370972167045479</v>
      </c>
      <c r="BL140" s="10">
        <v>9.9124004453869929E-3</v>
      </c>
      <c r="BM140" s="10">
        <v>-9.494392330598235E-2</v>
      </c>
      <c r="BN140" s="10">
        <v>0.10485632375136934</v>
      </c>
      <c r="BO140" s="10">
        <v>-84.914069919737813</v>
      </c>
      <c r="BP140" s="10">
        <v>76.002788861182566</v>
      </c>
      <c r="BQ140" s="10">
        <v>659366.66666666663</v>
      </c>
      <c r="BR140" s="10">
        <v>729595</v>
      </c>
      <c r="BS140" s="10">
        <v>821787.5</v>
      </c>
      <c r="BT140">
        <v>0.95490622314342066</v>
      </c>
      <c r="BU140">
        <v>0.76673359877740399</v>
      </c>
      <c r="BV140" s="10">
        <v>67.557235931392228</v>
      </c>
      <c r="BW140" s="10">
        <v>71.501261798535197</v>
      </c>
      <c r="BX140" s="10">
        <v>71.501261798535197</v>
      </c>
      <c r="BY140" s="10">
        <v>79.219674358628723</v>
      </c>
      <c r="BZ140" s="10">
        <v>-82.934023469158177</v>
      </c>
      <c r="CA140" s="10">
        <v>87.889851849201889</v>
      </c>
      <c r="CB140" s="10">
        <v>1</v>
      </c>
      <c r="CC140" s="10">
        <v>0</v>
      </c>
      <c r="CD140" s="10">
        <v>1</v>
      </c>
      <c r="CE140" s="10">
        <v>0</v>
      </c>
      <c r="CF140" s="10">
        <v>0</v>
      </c>
      <c r="CG140" s="10">
        <v>0</v>
      </c>
      <c r="CH140" s="10">
        <v>0</v>
      </c>
      <c r="CI140" s="10">
        <v>0</v>
      </c>
      <c r="CJ140" s="10">
        <v>0</v>
      </c>
      <c r="CK140" s="10">
        <v>-1</v>
      </c>
      <c r="CL140" s="10">
        <v>0</v>
      </c>
      <c r="CM140" s="10">
        <v>-1</v>
      </c>
      <c r="CN140" s="10">
        <v>0</v>
      </c>
      <c r="CO140" s="10">
        <v>0</v>
      </c>
      <c r="CP140" s="10">
        <v>0</v>
      </c>
      <c r="CQ140" s="10">
        <v>0</v>
      </c>
      <c r="CR140" s="10">
        <v>0</v>
      </c>
      <c r="CS140" s="10">
        <v>0</v>
      </c>
      <c r="CT140" s="10">
        <v>0</v>
      </c>
      <c r="CU140" s="10">
        <v>0</v>
      </c>
      <c r="CV140" s="10">
        <v>0</v>
      </c>
      <c r="CW140" s="10">
        <v>0</v>
      </c>
      <c r="CX140" s="10" t="s">
        <v>242</v>
      </c>
      <c r="CY140" s="1" t="str">
        <f>VLOOKUP(bovespa_diario_last_date_1[[#This Row],[Stock]],Patterns!H:J,2,0)</f>
        <v>CDLLADDERBOTTOM_Bull</v>
      </c>
      <c r="CZ140" s="5">
        <f>IF(RIGHT(bovespa_diario_last_date_1[[#This Row],[PATTERN]],4)="Bull",1,IF(RIGHT(bovespa_diario_last_date_1[[#This Row],[PATTERN]],4)="Bear",-1,0))</f>
        <v>1</v>
      </c>
    </row>
    <row r="141" spans="1:104" x14ac:dyDescent="0.25">
      <c r="A141" s="4">
        <v>44491</v>
      </c>
      <c r="B141" s="10">
        <v>23.979999542236328</v>
      </c>
      <c r="C141" s="10">
        <v>21.040000915527344</v>
      </c>
      <c r="D141" s="10">
        <v>23.370000839233398</v>
      </c>
      <c r="E141" s="10">
        <v>22.329999923706055</v>
      </c>
      <c r="F141" s="10">
        <v>3908700</v>
      </c>
      <c r="G141" s="10">
        <v>22.329999923706055</v>
      </c>
      <c r="H141" s="10">
        <v>23.75</v>
      </c>
      <c r="I141" s="10">
        <v>-5.9789476896587201E-2</v>
      </c>
      <c r="J141" s="10">
        <v>-6.16514680452405E-2</v>
      </c>
      <c r="K141" s="10">
        <v>1.0400009155273438</v>
      </c>
      <c r="L141" s="10">
        <v>1.2899990081787109</v>
      </c>
      <c r="M141" s="10">
        <v>0.60999870300292969</v>
      </c>
      <c r="N141" s="10">
        <v>4.5514262501751883E-2</v>
      </c>
      <c r="O141" s="10">
        <v>1.2403825697832227</v>
      </c>
      <c r="P141" s="10">
        <v>0.58653669808898512</v>
      </c>
      <c r="Q141" s="10">
        <v>0.62956343909482648</v>
      </c>
      <c r="R141" s="10">
        <v>0.49572204540957598</v>
      </c>
      <c r="S141" s="10">
        <v>3.3237730084654943E-2</v>
      </c>
      <c r="T141" s="10">
        <v>-82.606041437601249</v>
      </c>
      <c r="U141" s="10">
        <v>61.376428159195385</v>
      </c>
      <c r="V141" s="10">
        <v>77.70687335379084</v>
      </c>
      <c r="W141" s="10">
        <v>70.105779761041134</v>
      </c>
      <c r="X141" s="10">
        <v>0.92000007629394531</v>
      </c>
      <c r="Y141" s="10">
        <v>2.2855557335747614</v>
      </c>
      <c r="Z141" s="10">
        <v>-3908700</v>
      </c>
      <c r="AA141" s="10">
        <v>54492600</v>
      </c>
      <c r="AB141" s="10">
        <v>-81.112860291502599</v>
      </c>
      <c r="AC141" s="10">
        <v>36.051439892615186</v>
      </c>
      <c r="AD141" s="10">
        <v>16.958989486479101</v>
      </c>
      <c r="AE141" s="10">
        <v>54.273672697308875</v>
      </c>
      <c r="AF141" s="10">
        <v>-60.309231009994527</v>
      </c>
      <c r="AG141" s="10">
        <v>1.351428713117327</v>
      </c>
      <c r="AH141" s="10">
        <v>84.994826967133918</v>
      </c>
      <c r="AI141" s="10">
        <v>58.37633729908972</v>
      </c>
      <c r="AJ141" s="10">
        <v>23.416666666666668</v>
      </c>
      <c r="AK141" s="10">
        <v>23.517500162124634</v>
      </c>
      <c r="AL141" s="10">
        <v>22.200000095367432</v>
      </c>
      <c r="AM141" s="10">
        <v>1.2965866784022753</v>
      </c>
      <c r="AN141" s="10">
        <v>22.686849999427796</v>
      </c>
      <c r="AO141" s="10">
        <v>24.793173452171985</v>
      </c>
      <c r="AP141" s="10">
        <v>19.60682673856288</v>
      </c>
      <c r="AQ141" s="10">
        <v>-0.110307816250862</v>
      </c>
      <c r="AR141" s="10">
        <v>0.12195132980059663</v>
      </c>
      <c r="AS141" s="10">
        <v>0.23361922033015492</v>
      </c>
      <c r="AT141" s="10">
        <v>76.767922328445408</v>
      </c>
      <c r="AU141" s="10">
        <v>72.152065565162729</v>
      </c>
      <c r="AV141" s="10">
        <v>18.679880648149265</v>
      </c>
      <c r="AW141" s="10">
        <v>46.759709194415699</v>
      </c>
      <c r="AX141" s="10">
        <v>-88.008802119550523</v>
      </c>
      <c r="AY141" s="10">
        <v>83.792213320561686</v>
      </c>
      <c r="AZ141" s="10">
        <v>23.152568287519593</v>
      </c>
      <c r="BA141" s="10">
        <v>-3.6836917448453722E-2</v>
      </c>
      <c r="BB141" s="10">
        <v>77.58150924214911</v>
      </c>
      <c r="BC141" s="10">
        <v>22.976090394086633</v>
      </c>
      <c r="BD141" s="10">
        <v>22.659544146027461</v>
      </c>
      <c r="BE141" s="10">
        <v>-1.4757914171399262E-2</v>
      </c>
      <c r="BF141" s="10">
        <v>22.616634992899371</v>
      </c>
      <c r="BG141" s="10">
        <v>22.8722720062169</v>
      </c>
      <c r="BH141" s="10">
        <v>-2.4284464145257614E-2</v>
      </c>
      <c r="BI141" s="10">
        <v>7.844032345007526</v>
      </c>
      <c r="BJ141" s="10">
        <v>21.283593030413535</v>
      </c>
      <c r="BK141" s="10">
        <v>4.6861034342486937E-2</v>
      </c>
      <c r="BL141" s="10">
        <v>0.35945540118726171</v>
      </c>
      <c r="BM141" s="10">
        <v>0.14105158871672058</v>
      </c>
      <c r="BN141" s="10">
        <v>0.21840381247054114</v>
      </c>
      <c r="BO141" s="10">
        <v>-86.424897938068142</v>
      </c>
      <c r="BP141" s="10">
        <v>84.658008674758563</v>
      </c>
      <c r="BQ141" s="10">
        <v>1770988.888888889</v>
      </c>
      <c r="BR141" s="10">
        <v>1467465</v>
      </c>
      <c r="BS141" s="10">
        <v>2532456.5</v>
      </c>
      <c r="BT141">
        <v>1.207072006223767</v>
      </c>
      <c r="BU141">
        <v>1.6635728961167726</v>
      </c>
      <c r="BV141" s="10">
        <v>50.34365049505859</v>
      </c>
      <c r="BW141" s="10">
        <v>69.014901353147053</v>
      </c>
      <c r="BX141" s="10">
        <v>69.014901353147053</v>
      </c>
      <c r="BY141" s="10">
        <v>80.038472945594563</v>
      </c>
      <c r="BZ141" s="10">
        <v>-85.030997533372528</v>
      </c>
      <c r="CA141" s="10">
        <v>88.022807089863917</v>
      </c>
      <c r="CB141" s="10">
        <v>1</v>
      </c>
      <c r="CC141" s="10">
        <v>0</v>
      </c>
      <c r="CD141" s="10">
        <v>1</v>
      </c>
      <c r="CE141" s="10">
        <v>1</v>
      </c>
      <c r="CF141" s="10">
        <v>0</v>
      </c>
      <c r="CG141" s="10">
        <v>1</v>
      </c>
      <c r="CH141" s="10">
        <v>0</v>
      </c>
      <c r="CI141" s="10">
        <v>0</v>
      </c>
      <c r="CJ141" s="10">
        <v>0</v>
      </c>
      <c r="CK141" s="10">
        <v>-1</v>
      </c>
      <c r="CL141" s="10">
        <v>0</v>
      </c>
      <c r="CM141" s="10">
        <v>-1</v>
      </c>
      <c r="CN141" s="10">
        <v>0</v>
      </c>
      <c r="CO141" s="10">
        <v>0</v>
      </c>
      <c r="CP141" s="10">
        <v>0</v>
      </c>
      <c r="CQ141" s="10">
        <v>0</v>
      </c>
      <c r="CR141" s="10">
        <v>0</v>
      </c>
      <c r="CS141" s="10">
        <v>0</v>
      </c>
      <c r="CT141" s="10">
        <v>0</v>
      </c>
      <c r="CU141" s="10">
        <v>0</v>
      </c>
      <c r="CV141" s="10">
        <v>0</v>
      </c>
      <c r="CW141" s="10">
        <v>0</v>
      </c>
      <c r="CX141" s="10" t="s">
        <v>243</v>
      </c>
      <c r="CY141" s="1" t="str">
        <f>VLOOKUP(bovespa_diario_last_date_1[[#This Row],[Stock]],Patterns!H:J,2,0)</f>
        <v>NO_PATTERN</v>
      </c>
      <c r="CZ141" s="5">
        <f>IF(RIGHT(bovespa_diario_last_date_1[[#This Row],[PATTERN]],4)="Bull",1,IF(RIGHT(bovespa_diario_last_date_1[[#This Row],[PATTERN]],4)="Bear",-1,0))</f>
        <v>0</v>
      </c>
    </row>
    <row r="142" spans="1:104" x14ac:dyDescent="0.25">
      <c r="A142" s="4">
        <v>44491</v>
      </c>
      <c r="B142" s="10">
        <v>16.559999465942383</v>
      </c>
      <c r="C142" s="10">
        <v>15.289999961853027</v>
      </c>
      <c r="D142" s="10">
        <v>16.340000152587891</v>
      </c>
      <c r="E142" s="10">
        <v>16.280000686645508</v>
      </c>
      <c r="F142" s="10">
        <v>1120300</v>
      </c>
      <c r="G142" s="10">
        <v>16.280000686645508</v>
      </c>
      <c r="H142" s="10">
        <v>16.559999465942383</v>
      </c>
      <c r="I142" s="10">
        <v>-1.690813939171476E-2</v>
      </c>
      <c r="J142" s="10">
        <v>-1.7052713955621208E-2</v>
      </c>
      <c r="K142" s="10">
        <v>5.9999465942382813E-2</v>
      </c>
      <c r="L142" s="10">
        <v>0.99000072479248047</v>
      </c>
      <c r="M142" s="10">
        <v>0.21999931335449219</v>
      </c>
      <c r="N142" s="10">
        <v>3.6786918699412796E-3</v>
      </c>
      <c r="O142" s="10">
        <v>16.500158947134182</v>
      </c>
      <c r="P142" s="10">
        <v>3.6666878596178911</v>
      </c>
      <c r="Q142" s="10">
        <v>0.45242330200314312</v>
      </c>
      <c r="R142" s="10">
        <v>0.49619452436881351</v>
      </c>
      <c r="S142" s="10">
        <v>-4.0920173630554779E-2</v>
      </c>
      <c r="T142" s="10">
        <v>-82.299321343863568</v>
      </c>
      <c r="U142" s="10">
        <v>-59.00473671348594</v>
      </c>
      <c r="V142" s="10">
        <v>6.4324769654972505</v>
      </c>
      <c r="W142" s="10">
        <v>-33.230133942736678</v>
      </c>
      <c r="X142" s="10">
        <v>-0.96999931335449219</v>
      </c>
      <c r="Y142" s="10">
        <v>0.1366670396592882</v>
      </c>
      <c r="Z142" s="10">
        <v>-1120300</v>
      </c>
      <c r="AA142" s="10">
        <v>-209900</v>
      </c>
      <c r="AB142" s="10">
        <v>-85.738595395505058</v>
      </c>
      <c r="AC142" s="10">
        <v>51.60256146454347</v>
      </c>
      <c r="AD142" s="10">
        <v>14.733518709317709</v>
      </c>
      <c r="AE142" s="10">
        <v>36.739809593393936</v>
      </c>
      <c r="AF142" s="10">
        <v>-81.796330731539868</v>
      </c>
      <c r="AG142" s="10">
        <v>0.73357125691005165</v>
      </c>
      <c r="AH142" s="10">
        <v>-46.723534298261178</v>
      </c>
      <c r="AI142" s="10">
        <v>-29.56149663990703</v>
      </c>
      <c r="AJ142" s="10">
        <v>16.786666870117188</v>
      </c>
      <c r="AK142" s="10">
        <v>17.246250152587891</v>
      </c>
      <c r="AL142" s="10">
        <v>17.27449998855591</v>
      </c>
      <c r="AM142" s="10">
        <v>0.60969776802833775</v>
      </c>
      <c r="AN142" s="10">
        <v>21.226625947952272</v>
      </c>
      <c r="AO142" s="10">
        <v>18.493895524612586</v>
      </c>
      <c r="AP142" s="10">
        <v>16.055104452499233</v>
      </c>
      <c r="AQ142" s="10">
        <v>-0.13598862067512918</v>
      </c>
      <c r="AR142" s="10">
        <v>1.381426441405236E-2</v>
      </c>
      <c r="AS142" s="10">
        <v>0.14117867803577616</v>
      </c>
      <c r="AT142" s="10">
        <v>41.984259162291664</v>
      </c>
      <c r="AU142" s="10">
        <v>-1.7014200480122448</v>
      </c>
      <c r="AV142" s="10">
        <v>19.357848666240059</v>
      </c>
      <c r="AW142" s="10">
        <v>38.064197492627621</v>
      </c>
      <c r="AX142" s="10">
        <v>-88.058083890285403</v>
      </c>
      <c r="AY142" s="10">
        <v>40.083458840998823</v>
      </c>
      <c r="AZ142" s="10">
        <v>17.057919037287842</v>
      </c>
      <c r="BA142" s="10">
        <v>-4.7783680456503982E-2</v>
      </c>
      <c r="BB142" s="10">
        <v>12.861860399931812</v>
      </c>
      <c r="BC142" s="10">
        <v>17.117727618158192</v>
      </c>
      <c r="BD142" s="10">
        <v>17.241577869060301</v>
      </c>
      <c r="BE142" s="10">
        <v>-5.9064935003570053E-2</v>
      </c>
      <c r="BF142" s="10">
        <v>17.331747398767334</v>
      </c>
      <c r="BG142" s="10">
        <v>18.010945834278303</v>
      </c>
      <c r="BH142" s="10">
        <v>-0.10632340753232832</v>
      </c>
      <c r="BI142" s="10">
        <v>-42.000010857231842</v>
      </c>
      <c r="BJ142" s="10">
        <v>20.881485227623269</v>
      </c>
      <c r="BK142" s="10">
        <v>-0.28264645865478133</v>
      </c>
      <c r="BL142" s="10">
        <v>-0.21401978060914217</v>
      </c>
      <c r="BM142" s="10">
        <v>-0.18339063702362898</v>
      </c>
      <c r="BN142" s="10">
        <v>-3.0629143585513191E-2</v>
      </c>
      <c r="BO142" s="10">
        <v>-83.129817947133986</v>
      </c>
      <c r="BP142" s="10">
        <v>28.061392390094674</v>
      </c>
      <c r="BQ142" s="10">
        <v>434477.77777777775</v>
      </c>
      <c r="BR142" s="10">
        <v>499800</v>
      </c>
      <c r="BS142" s="10">
        <v>531020.5</v>
      </c>
      <c r="BT142">
        <v>1.5784978134669974</v>
      </c>
      <c r="BU142">
        <v>1.2414965986394559</v>
      </c>
      <c r="BV142" s="10">
        <v>34.859190283264859</v>
      </c>
      <c r="BW142" s="10">
        <v>43.08591261643496</v>
      </c>
      <c r="BX142" s="10">
        <v>43.08591261643496</v>
      </c>
      <c r="BY142" s="10">
        <v>53.456010508125871</v>
      </c>
      <c r="BZ142" s="10">
        <v>-28.336194951777617</v>
      </c>
      <c r="CA142" s="10">
        <v>85.051630688211972</v>
      </c>
      <c r="CB142" s="10">
        <v>1</v>
      </c>
      <c r="CC142" s="10">
        <v>0</v>
      </c>
      <c r="CD142" s="10">
        <v>1</v>
      </c>
      <c r="CE142" s="10">
        <v>0</v>
      </c>
      <c r="CF142" s="10">
        <v>0</v>
      </c>
      <c r="CG142" s="10">
        <v>0</v>
      </c>
      <c r="CH142" s="10">
        <v>-1</v>
      </c>
      <c r="CI142" s="10">
        <v>0</v>
      </c>
      <c r="CJ142" s="10">
        <v>-1</v>
      </c>
      <c r="CK142" s="10">
        <v>-1</v>
      </c>
      <c r="CL142" s="10">
        <v>0</v>
      </c>
      <c r="CM142" s="10">
        <v>-1</v>
      </c>
      <c r="CN142" s="10">
        <v>0</v>
      </c>
      <c r="CO142" s="10">
        <v>0</v>
      </c>
      <c r="CP142" s="10">
        <v>0</v>
      </c>
      <c r="CQ142" s="10">
        <v>0</v>
      </c>
      <c r="CR142" s="10">
        <v>0</v>
      </c>
      <c r="CS142" s="10">
        <v>0</v>
      </c>
      <c r="CT142" s="10">
        <v>0</v>
      </c>
      <c r="CU142" s="10">
        <v>0</v>
      </c>
      <c r="CV142" s="10">
        <v>0</v>
      </c>
      <c r="CW142" s="10">
        <v>0</v>
      </c>
      <c r="CX142" s="10" t="s">
        <v>244</v>
      </c>
      <c r="CY142" s="1" t="str">
        <f>VLOOKUP(bovespa_diario_last_date_1[[#This Row],[Stock]],Patterns!H:J,2,0)</f>
        <v>CDLHIKKAKE_Bull</v>
      </c>
      <c r="CZ142" s="5">
        <f>IF(RIGHT(bovespa_diario_last_date_1[[#This Row],[PATTERN]],4)="Bull",1,IF(RIGHT(bovespa_diario_last_date_1[[#This Row],[PATTERN]],4)="Bear",-1,0))</f>
        <v>1</v>
      </c>
    </row>
    <row r="143" spans="1:104" x14ac:dyDescent="0.25">
      <c r="A143" s="4">
        <v>44491</v>
      </c>
      <c r="B143" s="10">
        <v>6.179999828338623</v>
      </c>
      <c r="C143" s="10">
        <v>5.8400001525878906</v>
      </c>
      <c r="D143" s="10">
        <v>6.179999828338623</v>
      </c>
      <c r="E143" s="10">
        <v>6</v>
      </c>
      <c r="F143" s="10">
        <v>121000</v>
      </c>
      <c r="G143" s="10">
        <v>6</v>
      </c>
      <c r="H143" s="10">
        <v>6.1700000762939453</v>
      </c>
      <c r="I143" s="10">
        <v>-2.7552686254755598E-2</v>
      </c>
      <c r="J143" s="10">
        <v>-2.7939381054548528E-2</v>
      </c>
      <c r="K143" s="10">
        <v>0.17999982833862305</v>
      </c>
      <c r="L143" s="10">
        <v>0.15999984741210938</v>
      </c>
      <c r="M143" s="10">
        <v>0</v>
      </c>
      <c r="N143" s="10">
        <v>2.9556622475449639E-2</v>
      </c>
      <c r="O143" s="10">
        <v>0.88888888888888884</v>
      </c>
      <c r="P143" s="10">
        <v>0</v>
      </c>
      <c r="Q143" s="10">
        <v>0.33405871922160035</v>
      </c>
      <c r="R143" s="10">
        <v>0.23753436654817126</v>
      </c>
      <c r="S143" s="10">
        <v>-5.0376198256848179E-2</v>
      </c>
      <c r="T143" s="10">
        <v>-66.089703963870249</v>
      </c>
      <c r="U143" s="10">
        <v>-55.824160916221217</v>
      </c>
      <c r="V143" s="10">
        <v>-36.933321533288321</v>
      </c>
      <c r="W143" s="10">
        <v>-31.925587230026725</v>
      </c>
      <c r="X143" s="10">
        <v>-0.32000017166137695</v>
      </c>
      <c r="Y143" s="10">
        <v>-0.14222224553426108</v>
      </c>
      <c r="Z143" s="10">
        <v>-121000</v>
      </c>
      <c r="AA143" s="10">
        <v>-7055900</v>
      </c>
      <c r="AB143" s="10">
        <v>-74.049957214554965</v>
      </c>
      <c r="AC143" s="10">
        <v>-61.723532273544954</v>
      </c>
      <c r="AD143" s="10">
        <v>29.069944660198665</v>
      </c>
      <c r="AE143" s="10">
        <v>-28.503084809892151</v>
      </c>
      <c r="AF143" s="10">
        <v>-75.117110137693587</v>
      </c>
      <c r="AG143" s="10">
        <v>0.19714273725237166</v>
      </c>
      <c r="AH143" s="10">
        <v>-49.700725003993391</v>
      </c>
      <c r="AI143" s="10">
        <v>-68.065017203047219</v>
      </c>
      <c r="AJ143" s="10">
        <v>6.1233332951863604</v>
      </c>
      <c r="AK143" s="10">
        <v>6.2625000476837158</v>
      </c>
      <c r="AL143" s="10">
        <v>6.3720000505447389</v>
      </c>
      <c r="AM143" s="10">
        <v>0.14314513507962698</v>
      </c>
      <c r="AN143" s="10">
        <v>9.1400000214576718</v>
      </c>
      <c r="AO143" s="10">
        <v>6.6582903207039932</v>
      </c>
      <c r="AP143" s="10">
        <v>6.0857097803854847</v>
      </c>
      <c r="AQ143" s="10">
        <v>-0.10971505345066553</v>
      </c>
      <c r="AR143" s="10">
        <v>-1.4284963397580785E-2</v>
      </c>
      <c r="AS143" s="10">
        <v>8.9858841145106214E-2</v>
      </c>
      <c r="AT143" s="10">
        <v>82.242114259082925</v>
      </c>
      <c r="AU143" s="10">
        <v>-83.160154015490704</v>
      </c>
      <c r="AV143" s="10">
        <v>3.6145203827472017</v>
      </c>
      <c r="AW143" s="10">
        <v>24.91431460645407</v>
      </c>
      <c r="AX143" s="10">
        <v>-85.402819067309593</v>
      </c>
      <c r="AY143" s="10">
        <v>-69.072411671213516</v>
      </c>
      <c r="AZ143" s="10">
        <v>6.2389158162794027</v>
      </c>
      <c r="BA143" s="10">
        <v>-3.9819302713233785E-2</v>
      </c>
      <c r="BB143" s="10">
        <v>-34.49233710469148</v>
      </c>
      <c r="BC143" s="10">
        <v>6.2808715426632071</v>
      </c>
      <c r="BD143" s="10">
        <v>6.4051705899470637</v>
      </c>
      <c r="BE143" s="10">
        <v>-6.7528431657843946E-2</v>
      </c>
      <c r="BF143" s="10">
        <v>6.4834981874961688</v>
      </c>
      <c r="BG143" s="10">
        <v>6.9120051636265121</v>
      </c>
      <c r="BH143" s="10">
        <v>-0.15200086060441867</v>
      </c>
      <c r="BI143" s="10">
        <v>-47.25313340517706</v>
      </c>
      <c r="BJ143" s="10">
        <v>8.933921485926156</v>
      </c>
      <c r="BK143" s="10">
        <v>-0.48898691432102598</v>
      </c>
      <c r="BL143" s="10">
        <v>-0.20262664483296167</v>
      </c>
      <c r="BM143" s="10">
        <v>-0.20584229426442918</v>
      </c>
      <c r="BN143" s="10">
        <v>3.2156494314675155E-3</v>
      </c>
      <c r="BO143" s="10">
        <v>-72.384610353510311</v>
      </c>
      <c r="BP143" s="10">
        <v>-20.624824073239068</v>
      </c>
      <c r="BQ143" s="10">
        <v>132711.11111111112</v>
      </c>
      <c r="BR143" s="10">
        <v>107505</v>
      </c>
      <c r="BS143" s="10">
        <v>221267</v>
      </c>
      <c r="BT143">
        <v>-8.8245144005358434E-2</v>
      </c>
      <c r="BU143">
        <v>0.1255290451606903</v>
      </c>
      <c r="BV143" s="10">
        <v>20.512807972720015</v>
      </c>
      <c r="BW143" s="10">
        <v>17.595181885247186</v>
      </c>
      <c r="BX143" s="10">
        <v>17.595181885247186</v>
      </c>
      <c r="BY143" s="10">
        <v>14.643294648959866</v>
      </c>
      <c r="BZ143" s="10">
        <v>-78.957717132584165</v>
      </c>
      <c r="CA143" s="10">
        <v>13.353470198396403</v>
      </c>
      <c r="CB143" s="10">
        <v>0</v>
      </c>
      <c r="CC143" s="10">
        <v>0</v>
      </c>
      <c r="CD143" s="10">
        <v>0</v>
      </c>
      <c r="CE143" s="10">
        <v>0</v>
      </c>
      <c r="CF143" s="10">
        <v>0</v>
      </c>
      <c r="CG143" s="10">
        <v>0</v>
      </c>
      <c r="CH143" s="10">
        <v>0</v>
      </c>
      <c r="CI143" s="10">
        <v>0</v>
      </c>
      <c r="CJ143" s="10">
        <v>0</v>
      </c>
      <c r="CK143" s="10">
        <v>0</v>
      </c>
      <c r="CL143" s="10">
        <v>0</v>
      </c>
      <c r="CM143" s="10">
        <v>0</v>
      </c>
      <c r="CN143" s="10">
        <v>0</v>
      </c>
      <c r="CO143" s="10">
        <v>0</v>
      </c>
      <c r="CP143" s="10">
        <v>0</v>
      </c>
      <c r="CQ143" s="10">
        <v>0</v>
      </c>
      <c r="CR143" s="10">
        <v>0</v>
      </c>
      <c r="CS143" s="10">
        <v>0</v>
      </c>
      <c r="CT143" s="10">
        <v>0</v>
      </c>
      <c r="CU143" s="10">
        <v>0</v>
      </c>
      <c r="CV143" s="10">
        <v>0</v>
      </c>
      <c r="CW143" s="10">
        <v>0</v>
      </c>
      <c r="CX143" s="10" t="s">
        <v>245</v>
      </c>
      <c r="CY143" s="1" t="str">
        <f>VLOOKUP(bovespa_diario_last_date_1[[#This Row],[Stock]],Patterns!H:J,2,0)</f>
        <v>CDLHIKKAKE_Bear</v>
      </c>
      <c r="CZ143" s="5">
        <f>IF(RIGHT(bovespa_diario_last_date_1[[#This Row],[PATTERN]],4)="Bull",1,IF(RIGHT(bovespa_diario_last_date_1[[#This Row],[PATTERN]],4)="Bear",-1,0))</f>
        <v>-1</v>
      </c>
    </row>
    <row r="144" spans="1:104" x14ac:dyDescent="0.25">
      <c r="A144" s="4">
        <v>44491</v>
      </c>
      <c r="B144" s="10">
        <v>15.100000381469727</v>
      </c>
      <c r="C144" s="10">
        <v>14</v>
      </c>
      <c r="D144" s="10">
        <v>15.100000381469727</v>
      </c>
      <c r="E144" s="10">
        <v>14.449999809265137</v>
      </c>
      <c r="F144" s="10">
        <v>1800000</v>
      </c>
      <c r="G144" s="10">
        <v>14.449999809265137</v>
      </c>
      <c r="H144" s="10">
        <v>15.090000152587891</v>
      </c>
      <c r="I144" s="10">
        <v>-4.2412215828440236E-2</v>
      </c>
      <c r="J144" s="10">
        <v>-4.3337881532815814E-2</v>
      </c>
      <c r="K144" s="10">
        <v>0.65000057220458984</v>
      </c>
      <c r="L144" s="10">
        <v>0.44999980926513672</v>
      </c>
      <c r="M144" s="10">
        <v>0</v>
      </c>
      <c r="N144" s="10">
        <v>4.3993270254420618E-2</v>
      </c>
      <c r="O144" s="10">
        <v>0.69230678942156032</v>
      </c>
      <c r="P144" s="10">
        <v>0</v>
      </c>
      <c r="Q144" s="10">
        <v>0.56794339129689386</v>
      </c>
      <c r="R144" s="10">
        <v>0.5490428118790639</v>
      </c>
      <c r="S144" s="10">
        <v>0.14177086919604526</v>
      </c>
      <c r="T144" s="10">
        <v>85.92587905324298</v>
      </c>
      <c r="U144" s="10">
        <v>83.855535787697022</v>
      </c>
      <c r="V144" s="10">
        <v>81.771347944201707</v>
      </c>
      <c r="W144" s="10">
        <v>78.604316802694683</v>
      </c>
      <c r="X144" s="10">
        <v>1.6700000762939453</v>
      </c>
      <c r="Y144" s="10">
        <v>1.5688889821370442</v>
      </c>
      <c r="Z144" s="10">
        <v>-1800000</v>
      </c>
      <c r="AA144" s="10">
        <v>37230000</v>
      </c>
      <c r="AB144" s="10">
        <v>86.82152378567163</v>
      </c>
      <c r="AC144" s="10">
        <v>80.038333463372766</v>
      </c>
      <c r="AD144" s="10">
        <v>33.454208842087901</v>
      </c>
      <c r="AE144" s="10">
        <v>87.609886909478448</v>
      </c>
      <c r="AF144" s="10">
        <v>87.157018599062695</v>
      </c>
      <c r="AG144" s="10">
        <v>0.80428573063441688</v>
      </c>
      <c r="AH144" s="10">
        <v>84.974830124437233</v>
      </c>
      <c r="AI144" s="10">
        <v>77.418446342207531</v>
      </c>
      <c r="AJ144" s="10">
        <v>14.763333320617676</v>
      </c>
      <c r="AK144" s="10">
        <v>13.680000066757202</v>
      </c>
      <c r="AL144" s="10">
        <v>12.678499984741212</v>
      </c>
      <c r="AM144" s="10">
        <v>1.0807564356293544</v>
      </c>
      <c r="AN144" s="10">
        <v>10.825649995803833</v>
      </c>
      <c r="AO144" s="10">
        <v>14.84001285599992</v>
      </c>
      <c r="AP144" s="10">
        <v>10.516987113482504</v>
      </c>
      <c r="AQ144" s="10">
        <v>-2.6990522621648201E-2</v>
      </c>
      <c r="AR144" s="10">
        <v>0.27218081298941199</v>
      </c>
      <c r="AS144" s="10">
        <v>0.34097296586506687</v>
      </c>
      <c r="AT144" s="10">
        <v>86.961877186095535</v>
      </c>
      <c r="AU144" s="10">
        <v>80.197296561582547</v>
      </c>
      <c r="AV144" s="10">
        <v>59.997875707958379</v>
      </c>
      <c r="AW144" s="10">
        <v>67.830075542558234</v>
      </c>
      <c r="AX144" s="10">
        <v>86.603604888088142</v>
      </c>
      <c r="AY144" s="10">
        <v>85.649803496429854</v>
      </c>
      <c r="AZ144" s="10">
        <v>13.758761246819686</v>
      </c>
      <c r="BA144" s="10">
        <v>4.7836579347373974E-2</v>
      </c>
      <c r="BB144" s="10">
        <v>80.933152238403807</v>
      </c>
      <c r="BC144" s="10">
        <v>13.503827000795201</v>
      </c>
      <c r="BD144" s="10">
        <v>13.046169488410106</v>
      </c>
      <c r="BE144" s="10">
        <v>9.7150888538760694E-2</v>
      </c>
      <c r="BF144" s="10">
        <v>12.893052180599895</v>
      </c>
      <c r="BG144" s="10">
        <v>12.43054250381099</v>
      </c>
      <c r="BH144" s="10">
        <v>0.13975483267199068</v>
      </c>
      <c r="BI144" s="10">
        <v>60.071007000053541</v>
      </c>
      <c r="BJ144" s="10">
        <v>11.48179033107936</v>
      </c>
      <c r="BK144" s="10">
        <v>0.20541242334706489</v>
      </c>
      <c r="BL144" s="10">
        <v>0.61077482019530649</v>
      </c>
      <c r="BM144" s="10">
        <v>0.33834266588051537</v>
      </c>
      <c r="BN144" s="10">
        <v>0.27243215431479112</v>
      </c>
      <c r="BO144" s="10">
        <v>86.303476871623289</v>
      </c>
      <c r="BP144" s="10">
        <v>82.095555286799126</v>
      </c>
      <c r="BQ144" s="10">
        <v>1505677.7777777778</v>
      </c>
      <c r="BR144" s="10">
        <v>1033125</v>
      </c>
      <c r="BS144" s="10">
        <v>1058534.5</v>
      </c>
      <c r="BT144">
        <v>0.19547490609618401</v>
      </c>
      <c r="BU144">
        <v>0.74228675136116151</v>
      </c>
      <c r="BV144" s="10">
        <v>79.145728161574496</v>
      </c>
      <c r="BW144" s="10">
        <v>87.99408892781598</v>
      </c>
      <c r="BX144" s="10">
        <v>87.99408892781598</v>
      </c>
      <c r="BY144" s="10">
        <v>88.157377696542213</v>
      </c>
      <c r="BZ144" s="10">
        <v>87.295507147824907</v>
      </c>
      <c r="CA144" s="10">
        <v>87.244473370351727</v>
      </c>
      <c r="CB144" s="10">
        <v>0</v>
      </c>
      <c r="CC144" s="10">
        <v>0</v>
      </c>
      <c r="CD144" s="10">
        <v>0</v>
      </c>
      <c r="CE144" s="10">
        <v>0</v>
      </c>
      <c r="CF144" s="10">
        <v>0</v>
      </c>
      <c r="CG144" s="10">
        <v>0</v>
      </c>
      <c r="CH144" s="10">
        <v>0</v>
      </c>
      <c r="CI144" s="10">
        <v>0</v>
      </c>
      <c r="CJ144" s="10">
        <v>0</v>
      </c>
      <c r="CK144" s="10">
        <v>0</v>
      </c>
      <c r="CL144" s="10">
        <v>0</v>
      </c>
      <c r="CM144" s="10">
        <v>0</v>
      </c>
      <c r="CN144" s="10">
        <v>0</v>
      </c>
      <c r="CO144" s="10">
        <v>0</v>
      </c>
      <c r="CP144" s="10">
        <v>0</v>
      </c>
      <c r="CQ144" s="10">
        <v>0</v>
      </c>
      <c r="CR144" s="10">
        <v>0</v>
      </c>
      <c r="CS144" s="10">
        <v>0</v>
      </c>
      <c r="CT144" s="10">
        <v>0</v>
      </c>
      <c r="CU144" s="10">
        <v>0</v>
      </c>
      <c r="CV144" s="10">
        <v>0</v>
      </c>
      <c r="CW144" s="10">
        <v>0</v>
      </c>
      <c r="CX144" s="10" t="s">
        <v>246</v>
      </c>
      <c r="CY144" s="1" t="str">
        <f>VLOOKUP(bovespa_diario_last_date_1[[#This Row],[Stock]],Patterns!H:J,2,0)</f>
        <v>CDLHIKKAKE_Bear</v>
      </c>
      <c r="CZ144" s="5">
        <f>IF(RIGHT(bovespa_diario_last_date_1[[#This Row],[PATTERN]],4)="Bull",1,IF(RIGHT(bovespa_diario_last_date_1[[#This Row],[PATTERN]],4)="Bear",-1,0))</f>
        <v>-1</v>
      </c>
    </row>
    <row r="145" spans="1:104" x14ac:dyDescent="0.25">
      <c r="A145" s="4">
        <v>44491</v>
      </c>
      <c r="B145" s="10">
        <v>8</v>
      </c>
      <c r="C145" s="10">
        <v>7.309999942779541</v>
      </c>
      <c r="D145" s="10">
        <v>7.5999999046325684</v>
      </c>
      <c r="E145" s="10">
        <v>7.820000171661377</v>
      </c>
      <c r="F145" s="10">
        <v>316900</v>
      </c>
      <c r="G145" s="10">
        <v>7.820000171661377</v>
      </c>
      <c r="H145" s="10">
        <v>7.8000001907348633</v>
      </c>
      <c r="I145" s="10">
        <v>2.5641000560834293E-3</v>
      </c>
      <c r="J145" s="10">
        <v>2.560818360068893E-3</v>
      </c>
      <c r="K145" s="10">
        <v>0.22000026702880859</v>
      </c>
      <c r="L145" s="10">
        <v>0.28999996185302734</v>
      </c>
      <c r="M145" s="10">
        <v>0.17999982833862305</v>
      </c>
      <c r="N145" s="10">
        <v>2.8534405439728589E-2</v>
      </c>
      <c r="O145" s="10">
        <v>1.3181800448226384</v>
      </c>
      <c r="P145" s="10">
        <v>0.81818004482263851</v>
      </c>
      <c r="Q145" s="10">
        <v>0.43054442432325041</v>
      </c>
      <c r="R145" s="10">
        <v>0.57911376210170773</v>
      </c>
      <c r="S145" s="10">
        <v>-5.9570961273853619E-2</v>
      </c>
      <c r="T145" s="10">
        <v>-82.503207413247267</v>
      </c>
      <c r="U145" s="10">
        <v>-78.412166125377539</v>
      </c>
      <c r="V145" s="10">
        <v>-28.803643409049521</v>
      </c>
      <c r="W145" s="10">
        <v>-17.212664355807011</v>
      </c>
      <c r="X145" s="10">
        <v>-0.95999956130981445</v>
      </c>
      <c r="Y145" s="10">
        <v>9.1111183166503906E-2</v>
      </c>
      <c r="Z145" s="10">
        <v>316900</v>
      </c>
      <c r="AA145" s="10">
        <v>9840000</v>
      </c>
      <c r="AB145" s="10">
        <v>-64.768719694176767</v>
      </c>
      <c r="AC145" s="10">
        <v>-23.62970864370978</v>
      </c>
      <c r="AD145" s="10">
        <v>16.308607580989726</v>
      </c>
      <c r="AE145" s="10">
        <v>-71.976649459007234</v>
      </c>
      <c r="AF145" s="10">
        <v>44.626369925508683</v>
      </c>
      <c r="AG145" s="10">
        <v>0.45499995776585173</v>
      </c>
      <c r="AH145" s="10">
        <v>53.523025265843444</v>
      </c>
      <c r="AI145" s="10">
        <v>34.0570813496265</v>
      </c>
      <c r="AJ145" s="10">
        <v>7.90333350499471</v>
      </c>
      <c r="AK145" s="10">
        <v>8.2187500596046448</v>
      </c>
      <c r="AL145" s="10">
        <v>8.2315000534057621</v>
      </c>
      <c r="AM145" s="10">
        <v>0.30243347832988809</v>
      </c>
      <c r="AN145" s="10">
        <v>8.5225499796867368</v>
      </c>
      <c r="AO145" s="10">
        <v>8.8363670100655387</v>
      </c>
      <c r="AP145" s="10">
        <v>7.6266330967459854</v>
      </c>
      <c r="AQ145" s="10">
        <v>-0.12997018108609995</v>
      </c>
      <c r="AR145" s="10">
        <v>2.4727246888833536E-2</v>
      </c>
      <c r="AS145" s="10">
        <v>0.14696396834973341</v>
      </c>
      <c r="AT145" s="10">
        <v>34.0971527692652</v>
      </c>
      <c r="AU145" s="10">
        <v>35.506006803777701</v>
      </c>
      <c r="AV145" s="10">
        <v>19.785775513888382</v>
      </c>
      <c r="AW145" s="10">
        <v>40.914108632456376</v>
      </c>
      <c r="AX145" s="10">
        <v>-86.53698580755109</v>
      </c>
      <c r="AY145" s="10">
        <v>-68.963739553422798</v>
      </c>
      <c r="AZ145" s="10">
        <v>8.1215224156327945</v>
      </c>
      <c r="BA145" s="10">
        <v>-3.8557830863494534E-2</v>
      </c>
      <c r="BB145" s="10">
        <v>-49.252446340789469</v>
      </c>
      <c r="BC145" s="10">
        <v>8.1555189016001179</v>
      </c>
      <c r="BD145" s="10">
        <v>8.1868647080880876</v>
      </c>
      <c r="BE145" s="10">
        <v>-4.6913622554150082E-2</v>
      </c>
      <c r="BF145" s="10">
        <v>8.1986350510293597</v>
      </c>
      <c r="BG145" s="10">
        <v>8.3090305582654249</v>
      </c>
      <c r="BH145" s="10">
        <v>-6.2535853691695301E-2</v>
      </c>
      <c r="BI145" s="10">
        <v>-3.8039299767569377</v>
      </c>
      <c r="BJ145" s="10">
        <v>8.7311884372344402</v>
      </c>
      <c r="BK145" s="10">
        <v>-0.11652023600652674</v>
      </c>
      <c r="BL145" s="10">
        <v>-4.3116149429241801E-2</v>
      </c>
      <c r="BM145" s="10">
        <v>1.1252847473477231E-2</v>
      </c>
      <c r="BN145" s="10">
        <v>-5.4368996902719034E-2</v>
      </c>
      <c r="BO145" s="10">
        <v>-85.35532199715729</v>
      </c>
      <c r="BP145" s="10">
        <v>-58.090813852685933</v>
      </c>
      <c r="BQ145" s="10">
        <v>149311.11111111112</v>
      </c>
      <c r="BR145" s="10">
        <v>160905</v>
      </c>
      <c r="BS145" s="10">
        <v>216043</v>
      </c>
      <c r="BT145">
        <v>1.1224140497097781</v>
      </c>
      <c r="BU145">
        <v>0.96948509990366993</v>
      </c>
      <c r="BV145" s="10">
        <v>28.491625915746891</v>
      </c>
      <c r="BW145" s="10">
        <v>27.294053519862601</v>
      </c>
      <c r="BX145" s="10">
        <v>27.294053519862601</v>
      </c>
      <c r="BY145" s="10">
        <v>31.156845231992008</v>
      </c>
      <c r="BZ145" s="10">
        <v>-88.050660379175781</v>
      </c>
      <c r="CA145" s="10">
        <v>45.619019617780062</v>
      </c>
      <c r="CB145" s="10">
        <v>0</v>
      </c>
      <c r="CC145" s="10">
        <v>0</v>
      </c>
      <c r="CD145" s="10">
        <v>0</v>
      </c>
      <c r="CE145" s="10">
        <v>0</v>
      </c>
      <c r="CF145" s="10">
        <v>0</v>
      </c>
      <c r="CG145" s="10">
        <v>0</v>
      </c>
      <c r="CH145" s="10">
        <v>0</v>
      </c>
      <c r="CI145" s="10">
        <v>0</v>
      </c>
      <c r="CJ145" s="10">
        <v>0</v>
      </c>
      <c r="CK145" s="10">
        <v>0</v>
      </c>
      <c r="CL145" s="10">
        <v>0</v>
      </c>
      <c r="CM145" s="10">
        <v>0</v>
      </c>
      <c r="CN145" s="10">
        <v>0</v>
      </c>
      <c r="CO145" s="10">
        <v>0</v>
      </c>
      <c r="CP145" s="10">
        <v>0</v>
      </c>
      <c r="CQ145" s="10">
        <v>0</v>
      </c>
      <c r="CR145" s="10">
        <v>0</v>
      </c>
      <c r="CS145" s="10">
        <v>0</v>
      </c>
      <c r="CT145" s="10">
        <v>0</v>
      </c>
      <c r="CU145" s="10">
        <v>0</v>
      </c>
      <c r="CV145" s="10">
        <v>0</v>
      </c>
      <c r="CW145" s="10">
        <v>0</v>
      </c>
      <c r="CX145" s="10" t="s">
        <v>247</v>
      </c>
      <c r="CY145" s="1" t="str">
        <f>VLOOKUP(bovespa_diario_last_date_1[[#This Row],[Stock]],Patterns!H:J,2,0)</f>
        <v>CDLCLOSINGMARUBOZU_Bull</v>
      </c>
      <c r="CZ145" s="5">
        <f>IF(RIGHT(bovespa_diario_last_date_1[[#This Row],[PATTERN]],4)="Bull",1,IF(RIGHT(bovespa_diario_last_date_1[[#This Row],[PATTERN]],4)="Bear",-1,0))</f>
        <v>1</v>
      </c>
    </row>
    <row r="146" spans="1:104" x14ac:dyDescent="0.25">
      <c r="A146" s="4">
        <v>44491</v>
      </c>
      <c r="B146" s="10">
        <v>38.520000457763672</v>
      </c>
      <c r="C146" s="10">
        <v>35.580001831054688</v>
      </c>
      <c r="D146" s="10">
        <v>38.5</v>
      </c>
      <c r="E146" s="10">
        <v>38.209999084472656</v>
      </c>
      <c r="F146" s="10">
        <v>54900</v>
      </c>
      <c r="G146" s="10">
        <v>38.209999084472656</v>
      </c>
      <c r="H146" s="10">
        <v>39.669998168945313</v>
      </c>
      <c r="I146" s="10">
        <v>-3.6803608567231527E-2</v>
      </c>
      <c r="J146" s="10">
        <v>-3.7497950870677615E-2</v>
      </c>
      <c r="K146" s="10">
        <v>0.29000091552734375</v>
      </c>
      <c r="L146" s="10">
        <v>2.6299972534179688</v>
      </c>
      <c r="M146" s="10">
        <v>2.0000457763671875E-2</v>
      </c>
      <c r="N146" s="10">
        <v>7.5609677744356701E-3</v>
      </c>
      <c r="O146" s="10">
        <v>9.0689274157480728</v>
      </c>
      <c r="P146" s="10">
        <v>6.8966878008997395E-2</v>
      </c>
      <c r="Q146" s="10">
        <v>0.60112293310359355</v>
      </c>
      <c r="R146" s="10">
        <v>0.65363489172648503</v>
      </c>
      <c r="S146" s="10">
        <v>-4.302841311805243E-2</v>
      </c>
      <c r="T146" s="10">
        <v>-77.015519879882092</v>
      </c>
      <c r="U146" s="10">
        <v>-74.797108664364004</v>
      </c>
      <c r="V146" s="10">
        <v>-50.791920105076279</v>
      </c>
      <c r="W146" s="10">
        <v>-64.969641302916003</v>
      </c>
      <c r="X146" s="10">
        <v>-2.0200004577636719</v>
      </c>
      <c r="Y146" s="10">
        <v>-0.722222646077474</v>
      </c>
      <c r="Z146" s="10">
        <v>-54900</v>
      </c>
      <c r="AA146" s="10">
        <v>1112861</v>
      </c>
      <c r="AB146" s="10">
        <v>-58.194380066364928</v>
      </c>
      <c r="AC146" s="10">
        <v>-37.68746308500689</v>
      </c>
      <c r="AD146" s="10">
        <v>13.081734194208863</v>
      </c>
      <c r="AE146" s="10">
        <v>80.827174271164282</v>
      </c>
      <c r="AF146" s="10">
        <v>-30.811529560559617</v>
      </c>
      <c r="AG146" s="10">
        <v>2.3292854854038785</v>
      </c>
      <c r="AH146" s="10">
        <v>65.041731848258991</v>
      </c>
      <c r="AI146" s="10">
        <v>-83.899670728809625</v>
      </c>
      <c r="AJ146" s="10">
        <v>38.60333251953125</v>
      </c>
      <c r="AK146" s="10">
        <v>39.924999237060547</v>
      </c>
      <c r="AL146" s="10">
        <v>40.899499511718751</v>
      </c>
      <c r="AM146" s="10">
        <v>2.0210304607896692</v>
      </c>
      <c r="AN146" s="10">
        <v>46.251758975982668</v>
      </c>
      <c r="AO146" s="10">
        <v>44.941560433298093</v>
      </c>
      <c r="AP146" s="10">
        <v>36.857438590139409</v>
      </c>
      <c r="AQ146" s="10">
        <v>-0.1761727691734212</v>
      </c>
      <c r="AR146" s="10">
        <v>3.5398077119632408E-2</v>
      </c>
      <c r="AS146" s="10">
        <v>0.1976582095055314</v>
      </c>
      <c r="AT146" s="10">
        <v>48.838816645380803</v>
      </c>
      <c r="AU146" s="10">
        <v>-14.267978979868547</v>
      </c>
      <c r="AV146" s="10">
        <v>33.748237731760227</v>
      </c>
      <c r="AW146" s="10">
        <v>39.965894710605973</v>
      </c>
      <c r="AX146" s="10">
        <v>-78.157393971922673</v>
      </c>
      <c r="AY146" s="10">
        <v>-36.382250725344193</v>
      </c>
      <c r="AZ146" s="10">
        <v>39.654540008819993</v>
      </c>
      <c r="BA146" s="10">
        <v>-3.780531167126755E-2</v>
      </c>
      <c r="BB146" s="10">
        <v>-60.189498033390528</v>
      </c>
      <c r="BC146" s="10">
        <v>39.978132414996388</v>
      </c>
      <c r="BD146" s="10">
        <v>40.77740000473765</v>
      </c>
      <c r="BE146" s="10">
        <v>-6.7191860292619199E-2</v>
      </c>
      <c r="BF146" s="10">
        <v>41.160079275015512</v>
      </c>
      <c r="BG146" s="10">
        <v>42.716270488772928</v>
      </c>
      <c r="BH146" s="10">
        <v>-0.11793434996787211</v>
      </c>
      <c r="BI146" s="10">
        <v>-61.138312098528246</v>
      </c>
      <c r="BJ146" s="10">
        <v>43.381875638098272</v>
      </c>
      <c r="BK146" s="10">
        <v>-0.13535400883396786</v>
      </c>
      <c r="BL146" s="10">
        <v>-1.1819468600191243</v>
      </c>
      <c r="BM146" s="10">
        <v>-1.0275228433269983</v>
      </c>
      <c r="BN146" s="10">
        <v>-0.15442401669212602</v>
      </c>
      <c r="BO146" s="10">
        <v>-83.66496767295277</v>
      </c>
      <c r="BP146" s="10">
        <v>68.026354314845833</v>
      </c>
      <c r="BQ146" s="10">
        <v>39122.222222222219</v>
      </c>
      <c r="BR146" s="10">
        <v>60060</v>
      </c>
      <c r="BS146" s="10">
        <v>98340.524999999994</v>
      </c>
      <c r="BT146">
        <v>0.40329451860266974</v>
      </c>
      <c r="BU146">
        <v>-8.5914085914085891E-2</v>
      </c>
      <c r="BV146" s="10">
        <v>35.540514417240374</v>
      </c>
      <c r="BW146" s="10">
        <v>32.161440721746452</v>
      </c>
      <c r="BX146" s="10">
        <v>32.161440721746452</v>
      </c>
      <c r="BY146" s="10">
        <v>22.512572076750953</v>
      </c>
      <c r="BZ146" s="10">
        <v>-85.042649193211716</v>
      </c>
      <c r="CA146" s="10">
        <v>53.893497299092907</v>
      </c>
      <c r="CB146" s="10">
        <v>0</v>
      </c>
      <c r="CC146" s="10">
        <v>0</v>
      </c>
      <c r="CD146" s="10">
        <v>0</v>
      </c>
      <c r="CE146" s="10">
        <v>0</v>
      </c>
      <c r="CF146" s="10">
        <v>0</v>
      </c>
      <c r="CG146" s="10">
        <v>0</v>
      </c>
      <c r="CH146" s="10">
        <v>0</v>
      </c>
      <c r="CI146" s="10">
        <v>0</v>
      </c>
      <c r="CJ146" s="10">
        <v>0</v>
      </c>
      <c r="CK146" s="10">
        <v>0</v>
      </c>
      <c r="CL146" s="10">
        <v>0</v>
      </c>
      <c r="CM146" s="10">
        <v>0</v>
      </c>
      <c r="CN146" s="10">
        <v>0</v>
      </c>
      <c r="CO146" s="10">
        <v>0</v>
      </c>
      <c r="CP146" s="10">
        <v>0</v>
      </c>
      <c r="CQ146" s="10">
        <v>0</v>
      </c>
      <c r="CR146" s="10">
        <v>0</v>
      </c>
      <c r="CS146" s="10">
        <v>0</v>
      </c>
      <c r="CT146" s="10">
        <v>0</v>
      </c>
      <c r="CU146" s="10">
        <v>0</v>
      </c>
      <c r="CV146" s="10">
        <v>0</v>
      </c>
      <c r="CW146" s="10">
        <v>0</v>
      </c>
      <c r="CX146" s="10" t="s">
        <v>248</v>
      </c>
      <c r="CY146" s="1" t="str">
        <f>VLOOKUP(bovespa_diario_last_date_1[[#This Row],[Stock]],Patterns!H:J,2,0)</f>
        <v>CDLSHORTLINE_Bear</v>
      </c>
      <c r="CZ146" s="5">
        <f>IF(RIGHT(bovespa_diario_last_date_1[[#This Row],[PATTERN]],4)="Bull",1,IF(RIGHT(bovespa_diario_last_date_1[[#This Row],[PATTERN]],4)="Bear",-1,0))</f>
        <v>-1</v>
      </c>
    </row>
    <row r="147" spans="1:104" x14ac:dyDescent="0.25">
      <c r="A147" s="4">
        <v>44491</v>
      </c>
      <c r="B147" s="10">
        <v>14.279999732971191</v>
      </c>
      <c r="C147" s="10">
        <v>13.550000190734863</v>
      </c>
      <c r="D147" s="10">
        <v>14</v>
      </c>
      <c r="E147" s="10">
        <v>13.880000114440918</v>
      </c>
      <c r="F147" s="10">
        <v>229100</v>
      </c>
      <c r="G147" s="10">
        <v>13.880000114440918</v>
      </c>
      <c r="H147" s="10">
        <v>14.199999809265137</v>
      </c>
      <c r="I147" s="10">
        <v>-2.2535190079046807E-2</v>
      </c>
      <c r="J147" s="10">
        <v>-2.2792987851500978E-2</v>
      </c>
      <c r="K147" s="10">
        <v>0.11999988555908203</v>
      </c>
      <c r="L147" s="10">
        <v>0.32999992370605469</v>
      </c>
      <c r="M147" s="10">
        <v>0.27999973297119141</v>
      </c>
      <c r="N147" s="10">
        <v>8.6083131324612913E-3</v>
      </c>
      <c r="O147" s="10">
        <v>2.7500019868233871</v>
      </c>
      <c r="P147" s="10">
        <v>2.3333333333333335</v>
      </c>
      <c r="Q147" s="10">
        <v>0.30866008233081349</v>
      </c>
      <c r="R147" s="10">
        <v>0.27836378812577128</v>
      </c>
      <c r="S147" s="10">
        <v>1.1594321563201365E-2</v>
      </c>
      <c r="T147" s="10">
        <v>-80.142346573988576</v>
      </c>
      <c r="U147" s="10">
        <v>-52.467404546609195</v>
      </c>
      <c r="V147" s="10">
        <v>53.306937152206558</v>
      </c>
      <c r="W147" s="10">
        <v>-17.1747296245256</v>
      </c>
      <c r="X147" s="10">
        <v>-0.31999969482421875</v>
      </c>
      <c r="Y147" s="10">
        <v>0.29333326551649308</v>
      </c>
      <c r="Z147" s="10">
        <v>-229100</v>
      </c>
      <c r="AA147" s="10">
        <v>16763600</v>
      </c>
      <c r="AB147" s="10">
        <v>-78.300620051103138</v>
      </c>
      <c r="AC147" s="10">
        <v>-32.005852692219349</v>
      </c>
      <c r="AD147" s="10">
        <v>15.723932626260828</v>
      </c>
      <c r="AE147" s="10">
        <v>-79.904932916530626</v>
      </c>
      <c r="AF147" s="10">
        <v>-80.722184654304442</v>
      </c>
      <c r="AG147" s="10">
        <v>0.5221426827566964</v>
      </c>
      <c r="AH147" s="10">
        <v>-84.816483525594052</v>
      </c>
      <c r="AI147" s="10">
        <v>11.052700414948653</v>
      </c>
      <c r="AJ147" s="10">
        <v>14.143333435058594</v>
      </c>
      <c r="AK147" s="10">
        <v>14.387500047683716</v>
      </c>
      <c r="AL147" s="10">
        <v>14.277000045776367</v>
      </c>
      <c r="AM147" s="10">
        <v>0.36279760697235097</v>
      </c>
      <c r="AN147" s="10">
        <v>13.041264200210572</v>
      </c>
      <c r="AO147" s="10">
        <v>15.002595259721069</v>
      </c>
      <c r="AP147" s="10">
        <v>13.551404831831665</v>
      </c>
      <c r="AQ147" s="10">
        <v>-8.0878612105499167E-2</v>
      </c>
      <c r="AR147" s="10">
        <v>2.3674011520171304E-2</v>
      </c>
      <c r="AS147" s="10">
        <v>0.10164533327985223</v>
      </c>
      <c r="AT147" s="10">
        <v>-61.982119967651826</v>
      </c>
      <c r="AU147" s="10">
        <v>-28.859465799408802</v>
      </c>
      <c r="AV147" s="10">
        <v>15.725488898219595</v>
      </c>
      <c r="AW147" s="10">
        <v>37.285098807355631</v>
      </c>
      <c r="AX147" s="10">
        <v>-87.551096641627979</v>
      </c>
      <c r="AY147" s="10">
        <v>82.86896226377084</v>
      </c>
      <c r="AZ147" s="10">
        <v>14.25319794573249</v>
      </c>
      <c r="BA147" s="10">
        <v>-2.6887451600471696E-2</v>
      </c>
      <c r="BB147" s="10">
        <v>38.834365394973261</v>
      </c>
      <c r="BC147" s="10">
        <v>14.279748456733959</v>
      </c>
      <c r="BD147" s="10">
        <v>14.387767970923944</v>
      </c>
      <c r="BE147" s="10">
        <v>-3.6582698292252781E-2</v>
      </c>
      <c r="BF147" s="10">
        <v>14.455463438543392</v>
      </c>
      <c r="BG147" s="10">
        <v>14.615218734569542</v>
      </c>
      <c r="BH147" s="10">
        <v>-5.2969640782905579E-2</v>
      </c>
      <c r="BI147" s="10">
        <v>-33.736560204881663</v>
      </c>
      <c r="BJ147" s="10">
        <v>12.821996670312645</v>
      </c>
      <c r="BK147" s="10">
        <v>7.622503136923707E-2</v>
      </c>
      <c r="BL147" s="10">
        <v>-0.17571498180943301</v>
      </c>
      <c r="BM147" s="10">
        <v>-0.20009738046161904</v>
      </c>
      <c r="BN147" s="10">
        <v>2.4382398652186027E-2</v>
      </c>
      <c r="BO147" s="10">
        <v>-85.955266801633343</v>
      </c>
      <c r="BP147" s="10">
        <v>84.979196069085333</v>
      </c>
      <c r="BQ147" s="10">
        <v>158211.11111111112</v>
      </c>
      <c r="BR147" s="10">
        <v>175860</v>
      </c>
      <c r="BS147" s="10">
        <v>216914.5</v>
      </c>
      <c r="BT147">
        <v>0.4480651731160894</v>
      </c>
      <c r="BU147">
        <v>0.30274081655862628</v>
      </c>
      <c r="BV147" s="10">
        <v>34.682093033383552</v>
      </c>
      <c r="BW147" s="10">
        <v>49.903667896520311</v>
      </c>
      <c r="BX147" s="10">
        <v>49.903667896520311</v>
      </c>
      <c r="BY147" s="10">
        <v>58.766864549436782</v>
      </c>
      <c r="BZ147" s="10">
        <v>-85.71301823127159</v>
      </c>
      <c r="CA147" s="10">
        <v>87.193917640764383</v>
      </c>
      <c r="CB147" s="10">
        <v>1</v>
      </c>
      <c r="CC147" s="10">
        <v>0</v>
      </c>
      <c r="CD147" s="10">
        <v>1</v>
      </c>
      <c r="CE147" s="10">
        <v>0</v>
      </c>
      <c r="CF147" s="10">
        <v>0</v>
      </c>
      <c r="CG147" s="10">
        <v>0</v>
      </c>
      <c r="CH147" s="10">
        <v>0</v>
      </c>
      <c r="CI147" s="10">
        <v>0</v>
      </c>
      <c r="CJ147" s="10">
        <v>0</v>
      </c>
      <c r="CK147" s="10">
        <v>-1</v>
      </c>
      <c r="CL147" s="10">
        <v>0</v>
      </c>
      <c r="CM147" s="10">
        <v>-1</v>
      </c>
      <c r="CN147" s="10">
        <v>0</v>
      </c>
      <c r="CO147" s="10">
        <v>0</v>
      </c>
      <c r="CP147" s="10">
        <v>0</v>
      </c>
      <c r="CQ147" s="10">
        <v>0</v>
      </c>
      <c r="CR147" s="10">
        <v>0</v>
      </c>
      <c r="CS147" s="10">
        <v>0</v>
      </c>
      <c r="CT147" s="10">
        <v>0</v>
      </c>
      <c r="CU147" s="10">
        <v>0</v>
      </c>
      <c r="CV147" s="10">
        <v>0</v>
      </c>
      <c r="CW147" s="10">
        <v>0</v>
      </c>
      <c r="CX147" s="10" t="s">
        <v>249</v>
      </c>
      <c r="CY147" s="1" t="str">
        <f>VLOOKUP(bovespa_diario_last_date_1[[#This Row],[Stock]],Patterns!H:J,2,0)</f>
        <v>CDL3INSIDE_Bull</v>
      </c>
      <c r="CZ147" s="5">
        <f>IF(RIGHT(bovespa_diario_last_date_1[[#This Row],[PATTERN]],4)="Bull",1,IF(RIGHT(bovespa_diario_last_date_1[[#This Row],[PATTERN]],4)="Bear",-1,0))</f>
        <v>1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2F02A-A7C0-4B0D-81A9-569C038076CF}">
  <sheetPr codeName="Planilha2"/>
  <dimension ref="A1:J153"/>
  <sheetViews>
    <sheetView workbookViewId="0">
      <selection activeCell="J24" sqref="J24"/>
    </sheetView>
  </sheetViews>
  <sheetFormatPr defaultRowHeight="15" x14ac:dyDescent="0.25"/>
  <cols>
    <col min="1" max="1" width="10.7109375" bestFit="1" customWidth="1"/>
    <col min="2" max="2" width="11" hidden="1" customWidth="1"/>
    <col min="3" max="4" width="10" hidden="1" customWidth="1"/>
    <col min="5" max="6" width="11" hidden="1" customWidth="1"/>
    <col min="7" max="7" width="11.5703125" hidden="1" customWidth="1"/>
    <col min="8" max="8" width="8.140625" bestFit="1" customWidth="1"/>
    <col min="9" max="9" width="27.85546875" bestFit="1" customWidth="1"/>
    <col min="10" max="10" width="26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85</v>
      </c>
      <c r="I1" s="1" t="s">
        <v>254</v>
      </c>
      <c r="J1" s="1" t="s">
        <v>255</v>
      </c>
    </row>
    <row r="2" spans="1:10" x14ac:dyDescent="0.25">
      <c r="A2" s="4">
        <v>44349</v>
      </c>
      <c r="B2" s="1">
        <v>1296010</v>
      </c>
      <c r="C2" s="1">
        <v>1281670</v>
      </c>
      <c r="D2" s="1">
        <v>1282680</v>
      </c>
      <c r="E2" s="1">
        <v>1296010</v>
      </c>
      <c r="F2" s="1">
        <v>127811000</v>
      </c>
      <c r="G2" s="1">
        <v>1296010</v>
      </c>
      <c r="H2" s="1" t="s">
        <v>86</v>
      </c>
      <c r="I2" s="1" t="s">
        <v>348</v>
      </c>
      <c r="J2" s="1">
        <v>50</v>
      </c>
    </row>
    <row r="3" spans="1:10" x14ac:dyDescent="0.25">
      <c r="A3" s="4">
        <v>44349</v>
      </c>
      <c r="B3" s="1">
        <v>1.156999969482422E+16</v>
      </c>
      <c r="C3" s="1">
        <v>1135</v>
      </c>
      <c r="D3" s="1">
        <v>1.1422000122070312E+16</v>
      </c>
      <c r="E3" s="1">
        <v>1.148000030517578E+16</v>
      </c>
      <c r="F3" s="1">
        <v>203383000</v>
      </c>
      <c r="G3" s="1">
        <v>1.148000030517578E+16</v>
      </c>
      <c r="H3" s="1" t="s">
        <v>87</v>
      </c>
      <c r="I3" s="1" t="s">
        <v>296</v>
      </c>
      <c r="J3" s="1">
        <v>20</v>
      </c>
    </row>
    <row r="4" spans="1:10" x14ac:dyDescent="0.25">
      <c r="A4" s="4">
        <v>44349</v>
      </c>
      <c r="B4" s="1">
        <v>1459000015258789</v>
      </c>
      <c r="C4" s="1">
        <v>1.368000030517578E+16</v>
      </c>
      <c r="D4" s="1">
        <v>1.3829999923706056E+16</v>
      </c>
      <c r="E4" s="1">
        <v>1.4350000381469728E+16</v>
      </c>
      <c r="F4" s="1">
        <v>768359000</v>
      </c>
      <c r="G4" s="1">
        <v>1.4350000381469728E+16</v>
      </c>
      <c r="H4" s="1" t="s">
        <v>88</v>
      </c>
      <c r="I4" s="1" t="s">
        <v>287</v>
      </c>
      <c r="J4" s="1">
        <v>0</v>
      </c>
    </row>
    <row r="5" spans="1:10" x14ac:dyDescent="0.25">
      <c r="A5" s="4">
        <v>44349</v>
      </c>
      <c r="B5" s="1">
        <v>2806999969482422</v>
      </c>
      <c r="C5" s="1">
        <v>2.7260000228881836E+16</v>
      </c>
      <c r="D5" s="1">
        <v>2.7350000381469728E+16</v>
      </c>
      <c r="E5" s="1">
        <v>278700008392334</v>
      </c>
      <c r="F5" s="1">
        <v>1039851000</v>
      </c>
      <c r="G5" s="1">
        <v>278700008392334</v>
      </c>
      <c r="H5" s="1" t="s">
        <v>89</v>
      </c>
      <c r="I5" s="1" t="s">
        <v>287</v>
      </c>
      <c r="J5" s="1">
        <v>0</v>
      </c>
    </row>
    <row r="6" spans="1:10" x14ac:dyDescent="0.25">
      <c r="A6" s="4">
        <v>44349</v>
      </c>
      <c r="B6" s="1">
        <v>281299991607666</v>
      </c>
      <c r="C6" s="1">
        <v>2690999984741211</v>
      </c>
      <c r="D6" s="1">
        <v>270</v>
      </c>
      <c r="E6" s="1">
        <v>281200008392334</v>
      </c>
      <c r="F6" s="1">
        <v>661147000</v>
      </c>
      <c r="G6" s="1">
        <v>281200008392334</v>
      </c>
      <c r="H6" s="1" t="s">
        <v>90</v>
      </c>
      <c r="I6" s="1" t="s">
        <v>335</v>
      </c>
      <c r="J6" s="1">
        <v>20</v>
      </c>
    </row>
    <row r="7" spans="1:10" x14ac:dyDescent="0.25">
      <c r="A7" s="4">
        <v>44349</v>
      </c>
      <c r="B7" s="1">
        <v>3.1790000915527344E+16</v>
      </c>
      <c r="C7" s="1">
        <v>306299991607666</v>
      </c>
      <c r="D7" s="1">
        <v>3.0649999618530272E+16</v>
      </c>
      <c r="E7" s="1">
        <v>316200008392334</v>
      </c>
      <c r="F7" s="1">
        <v>566480000</v>
      </c>
      <c r="G7" s="1">
        <v>316200008392334</v>
      </c>
      <c r="H7" s="1" t="s">
        <v>91</v>
      </c>
      <c r="I7" s="1" t="s">
        <v>256</v>
      </c>
      <c r="J7" s="1">
        <v>10</v>
      </c>
    </row>
    <row r="8" spans="1:10" x14ac:dyDescent="0.25">
      <c r="A8" s="4">
        <v>44349</v>
      </c>
      <c r="B8" s="1">
        <v>2.1260000228881836E+16</v>
      </c>
      <c r="C8" s="1">
        <v>2025</v>
      </c>
      <c r="D8" s="1">
        <v>2040999984741211</v>
      </c>
      <c r="E8" s="1">
        <v>205</v>
      </c>
      <c r="F8" s="1">
        <v>273965000</v>
      </c>
      <c r="G8" s="1">
        <v>205</v>
      </c>
      <c r="H8" s="1" t="s">
        <v>92</v>
      </c>
      <c r="I8" s="1" t="s">
        <v>302</v>
      </c>
      <c r="J8" s="1">
        <v>10</v>
      </c>
    </row>
    <row r="9" spans="1:10" x14ac:dyDescent="0.25">
      <c r="A9" s="4">
        <v>44349</v>
      </c>
      <c r="B9" s="1">
        <v>4519999980926514</v>
      </c>
      <c r="C9" s="1">
        <v>4349999904632568</v>
      </c>
      <c r="D9" s="1">
        <v>446999979019165</v>
      </c>
      <c r="E9" s="1">
        <v>4449999809265137</v>
      </c>
      <c r="F9" s="1">
        <v>500299000</v>
      </c>
      <c r="G9" s="1">
        <v>4449999809265137</v>
      </c>
      <c r="H9" s="1" t="s">
        <v>205</v>
      </c>
      <c r="I9" s="1" t="s">
        <v>345</v>
      </c>
      <c r="J9" s="1">
        <v>20</v>
      </c>
    </row>
    <row r="10" spans="1:10" x14ac:dyDescent="0.25">
      <c r="A10" s="4">
        <v>44349</v>
      </c>
      <c r="B10" s="1">
        <v>1.7290000915527344E+16</v>
      </c>
      <c r="C10" s="1">
        <v>166200008392334</v>
      </c>
      <c r="D10" s="1">
        <v>1.7239999771118164E+16</v>
      </c>
      <c r="E10" s="1">
        <v>1.7010000228881836E+16</v>
      </c>
      <c r="F10" s="1">
        <v>1332977000</v>
      </c>
      <c r="G10" s="1">
        <v>1.7010000228881836E+16</v>
      </c>
      <c r="H10" s="1" t="s">
        <v>93</v>
      </c>
      <c r="I10" s="1" t="s">
        <v>287</v>
      </c>
      <c r="J10" s="1">
        <v>0</v>
      </c>
    </row>
    <row r="11" spans="1:10" x14ac:dyDescent="0.25">
      <c r="A11" s="4">
        <v>44349</v>
      </c>
      <c r="B11" s="1">
        <v>3.5369998931884768E+16</v>
      </c>
      <c r="C11" s="1">
        <v>3.3959999084472656E+16</v>
      </c>
      <c r="D11" s="1">
        <v>339900016784668</v>
      </c>
      <c r="E11" s="1">
        <v>3520000076293945</v>
      </c>
      <c r="F11" s="1">
        <v>263479000</v>
      </c>
      <c r="G11" s="1">
        <v>3520000076293945</v>
      </c>
      <c r="H11" s="1" t="s">
        <v>94</v>
      </c>
      <c r="I11" s="1" t="s">
        <v>256</v>
      </c>
      <c r="J11" s="1">
        <v>20</v>
      </c>
    </row>
    <row r="12" spans="1:10" x14ac:dyDescent="0.25">
      <c r="A12" s="4">
        <v>44349</v>
      </c>
      <c r="B12" s="1">
        <v>6070000171661377</v>
      </c>
      <c r="C12" s="1">
        <v>5980000019073486</v>
      </c>
      <c r="D12" s="1">
        <v>6010000228881836</v>
      </c>
      <c r="E12" s="1">
        <v>6050000190734863</v>
      </c>
      <c r="F12" s="1">
        <v>216368000</v>
      </c>
      <c r="G12" s="1">
        <v>6050000190734863</v>
      </c>
      <c r="H12" s="1" t="s">
        <v>95</v>
      </c>
      <c r="I12" s="1" t="s">
        <v>341</v>
      </c>
      <c r="J12" s="1">
        <v>20</v>
      </c>
    </row>
    <row r="13" spans="1:10" x14ac:dyDescent="0.25">
      <c r="A13" s="4">
        <v>44349</v>
      </c>
      <c r="B13" s="1">
        <v>1965999984741211</v>
      </c>
      <c r="C13" s="1">
        <v>186200008392334</v>
      </c>
      <c r="D13" s="1">
        <v>1.8770000457763672E+16</v>
      </c>
      <c r="E13" s="1">
        <v>193700008392334</v>
      </c>
      <c r="F13" s="1">
        <v>604248000</v>
      </c>
      <c r="G13" s="1">
        <v>193700008392334</v>
      </c>
      <c r="H13" s="1" t="s">
        <v>96</v>
      </c>
      <c r="I13" s="1" t="s">
        <v>287</v>
      </c>
      <c r="J13" s="1">
        <v>0</v>
      </c>
    </row>
    <row r="14" spans="1:10" x14ac:dyDescent="0.25">
      <c r="A14" s="4">
        <v>44349</v>
      </c>
      <c r="B14" s="1">
        <v>1649999976158142</v>
      </c>
      <c r="C14" s="1">
        <v>1.5800000429153442E+16</v>
      </c>
      <c r="D14" s="1">
        <v>1590000033378601</v>
      </c>
      <c r="E14" s="1">
        <v>1649999976158142</v>
      </c>
      <c r="F14" s="1">
        <v>794457000</v>
      </c>
      <c r="G14" s="1">
        <v>1649999976158142</v>
      </c>
      <c r="H14" s="1" t="s">
        <v>97</v>
      </c>
      <c r="I14" s="1" t="s">
        <v>335</v>
      </c>
      <c r="J14" s="1">
        <v>20</v>
      </c>
    </row>
    <row r="15" spans="1:10" x14ac:dyDescent="0.25">
      <c r="A15" s="4">
        <v>44349</v>
      </c>
      <c r="B15" s="1">
        <v>2.2030000686645508E+16</v>
      </c>
      <c r="C15" s="1">
        <v>2118000030517578</v>
      </c>
      <c r="D15" s="1">
        <v>2.1329999923706056E+16</v>
      </c>
      <c r="E15" s="1">
        <v>2131999969482422</v>
      </c>
      <c r="F15" s="1">
        <v>144568000</v>
      </c>
      <c r="G15" s="1">
        <v>2131999969482422</v>
      </c>
      <c r="H15" s="1" t="s">
        <v>98</v>
      </c>
      <c r="I15" s="1" t="s">
        <v>295</v>
      </c>
      <c r="J15" s="1">
        <v>60</v>
      </c>
    </row>
    <row r="16" spans="1:10" x14ac:dyDescent="0.25">
      <c r="A16" s="4">
        <v>44349</v>
      </c>
      <c r="B16" s="1">
        <v>4409000015258789</v>
      </c>
      <c r="C16" s="1">
        <v>4.2630001068115232E+16</v>
      </c>
      <c r="D16" s="1">
        <v>4.3060001373291016E+16</v>
      </c>
      <c r="E16" s="1">
        <v>4.3849998474121096E+16</v>
      </c>
      <c r="F16" s="1">
        <v>59453000</v>
      </c>
      <c r="G16" s="1">
        <v>4.3849998474121096E+16</v>
      </c>
      <c r="H16" s="1" t="s">
        <v>99</v>
      </c>
      <c r="I16" s="1" t="s">
        <v>287</v>
      </c>
      <c r="J16" s="1">
        <v>0</v>
      </c>
    </row>
    <row r="17" spans="1:10" x14ac:dyDescent="0.25">
      <c r="A17" s="4">
        <v>44349</v>
      </c>
      <c r="B17" s="1">
        <v>4420000076293945</v>
      </c>
      <c r="C17" s="1">
        <v>4289999961853027</v>
      </c>
      <c r="D17" s="1">
        <v>4409999847412109</v>
      </c>
      <c r="E17" s="1">
        <v>4320000171661377</v>
      </c>
      <c r="F17" s="1">
        <v>169839000</v>
      </c>
      <c r="G17" s="1">
        <v>4320000171661377</v>
      </c>
      <c r="H17" s="1" t="s">
        <v>100</v>
      </c>
      <c r="I17" s="1" t="s">
        <v>281</v>
      </c>
      <c r="J17" s="1">
        <v>10</v>
      </c>
    </row>
    <row r="18" spans="1:10" x14ac:dyDescent="0.25">
      <c r="A18" s="4">
        <v>44349</v>
      </c>
      <c r="B18" s="1">
        <v>2859000015258789</v>
      </c>
      <c r="C18" s="1">
        <v>2725</v>
      </c>
      <c r="D18" s="1">
        <v>2.7290000915527344E+16</v>
      </c>
      <c r="E18" s="1">
        <v>2.8579999923706056E+16</v>
      </c>
      <c r="F18" s="1">
        <v>447279000</v>
      </c>
      <c r="G18" s="1">
        <v>2.8579999923706056E+16</v>
      </c>
      <c r="H18" s="1" t="s">
        <v>101</v>
      </c>
      <c r="I18" s="1" t="s">
        <v>256</v>
      </c>
      <c r="J18" s="1">
        <v>40</v>
      </c>
    </row>
    <row r="19" spans="1:10" x14ac:dyDescent="0.25">
      <c r="A19" s="4">
        <v>44349</v>
      </c>
      <c r="B19" s="1">
        <v>3.1190000534057616E+16</v>
      </c>
      <c r="C19" s="1">
        <v>3.0219999313354492E+16</v>
      </c>
      <c r="D19" s="1">
        <v>3.1010000228881836E+16</v>
      </c>
      <c r="E19" s="1">
        <v>303700008392334</v>
      </c>
      <c r="F19" s="1">
        <v>129781000</v>
      </c>
      <c r="G19" s="1">
        <v>303700008392334</v>
      </c>
      <c r="H19" s="1" t="s">
        <v>102</v>
      </c>
      <c r="I19" s="1" t="s">
        <v>304</v>
      </c>
      <c r="J19" s="1">
        <v>20</v>
      </c>
    </row>
    <row r="20" spans="1:10" x14ac:dyDescent="0.25">
      <c r="A20" s="4">
        <v>44349</v>
      </c>
      <c r="B20" s="1">
        <v>1.2337999725341796E+16</v>
      </c>
      <c r="C20" s="1">
        <v>1200</v>
      </c>
      <c r="D20" s="1">
        <v>1.221999969482422E+16</v>
      </c>
      <c r="E20" s="1">
        <v>1.213000030517578E+16</v>
      </c>
      <c r="F20" s="1">
        <v>39557000</v>
      </c>
      <c r="G20" s="1">
        <v>1.213000030517578E+16</v>
      </c>
      <c r="H20" s="1" t="s">
        <v>103</v>
      </c>
      <c r="I20" s="1" t="s">
        <v>303</v>
      </c>
      <c r="J20" s="1">
        <v>20</v>
      </c>
    </row>
    <row r="21" spans="1:10" x14ac:dyDescent="0.25">
      <c r="A21" s="4">
        <v>44349</v>
      </c>
      <c r="B21">
        <v>649800033569336</v>
      </c>
      <c r="C21">
        <v>6.3810001373291016E+16</v>
      </c>
      <c r="D21">
        <v>6433999633789062</v>
      </c>
      <c r="E21">
        <v>647300033569336</v>
      </c>
      <c r="F21">
        <v>35935000</v>
      </c>
      <c r="G21">
        <v>647300033569336</v>
      </c>
      <c r="H21" s="1" t="s">
        <v>104</v>
      </c>
      <c r="I21" s="1" t="s">
        <v>287</v>
      </c>
      <c r="J21">
        <v>0</v>
      </c>
    </row>
    <row r="22" spans="1:10" x14ac:dyDescent="0.25">
      <c r="A22" s="4">
        <v>44349</v>
      </c>
      <c r="B22">
        <v>6480000305175781</v>
      </c>
      <c r="C22">
        <v>6279999923706055</v>
      </c>
      <c r="D22">
        <v>6.3779998779296872E+16</v>
      </c>
      <c r="E22">
        <v>6354999923706055</v>
      </c>
      <c r="F22">
        <v>32674000</v>
      </c>
      <c r="G22">
        <v>6354999923706055</v>
      </c>
      <c r="H22" s="1" t="s">
        <v>105</v>
      </c>
      <c r="I22" s="1" t="s">
        <v>345</v>
      </c>
      <c r="J22">
        <v>20</v>
      </c>
    </row>
    <row r="23" spans="1:10" x14ac:dyDescent="0.25">
      <c r="A23" s="4">
        <v>44349</v>
      </c>
      <c r="B23">
        <v>1.1649999618530272E+16</v>
      </c>
      <c r="C23">
        <v>1.1239999771118164E+16</v>
      </c>
      <c r="D23">
        <v>113100004196167</v>
      </c>
      <c r="E23">
        <v>1.1640000343322754E+16</v>
      </c>
      <c r="F23">
        <v>629149000</v>
      </c>
      <c r="G23">
        <v>1.1640000343322754E+16</v>
      </c>
      <c r="H23" s="1" t="s">
        <v>106</v>
      </c>
      <c r="I23" s="1" t="s">
        <v>335</v>
      </c>
      <c r="J23">
        <v>10</v>
      </c>
    </row>
    <row r="24" spans="1:10" x14ac:dyDescent="0.25">
      <c r="A24" s="4">
        <v>44349</v>
      </c>
      <c r="B24">
        <v>3431999969482422</v>
      </c>
      <c r="C24">
        <v>3316999816894531</v>
      </c>
      <c r="D24">
        <v>3420000076293945</v>
      </c>
      <c r="E24">
        <v>3345000076293945</v>
      </c>
      <c r="F24">
        <v>100009000</v>
      </c>
      <c r="G24">
        <v>3345000076293945</v>
      </c>
      <c r="H24" s="1" t="s">
        <v>107</v>
      </c>
      <c r="I24" s="1" t="s">
        <v>287</v>
      </c>
      <c r="J24">
        <v>0</v>
      </c>
    </row>
    <row r="25" spans="1:10" x14ac:dyDescent="0.25">
      <c r="A25" s="4">
        <v>44349</v>
      </c>
      <c r="B25">
        <v>4854999923706055</v>
      </c>
      <c r="C25">
        <v>472599983215332</v>
      </c>
      <c r="D25">
        <v>4795000076293945</v>
      </c>
      <c r="E25">
        <v>4783000183105469</v>
      </c>
      <c r="F25">
        <v>69602000</v>
      </c>
      <c r="G25">
        <v>4783000183105469</v>
      </c>
      <c r="H25" s="1" t="s">
        <v>108</v>
      </c>
      <c r="I25" s="1" t="s">
        <v>284</v>
      </c>
      <c r="J25">
        <v>50</v>
      </c>
    </row>
    <row r="26" spans="1:10" x14ac:dyDescent="0.25">
      <c r="A26" s="4">
        <v>44349</v>
      </c>
      <c r="B26">
        <v>6027000045776367</v>
      </c>
      <c r="C26">
        <v>5.8810001373291016E+16</v>
      </c>
      <c r="D26">
        <v>5966999816894531</v>
      </c>
      <c r="E26">
        <v>5.9279998779296872E+16</v>
      </c>
      <c r="F26">
        <v>75745000</v>
      </c>
      <c r="G26">
        <v>5.9279998779296872E+16</v>
      </c>
      <c r="H26" s="1" t="s">
        <v>109</v>
      </c>
      <c r="I26" s="1" t="s">
        <v>305</v>
      </c>
      <c r="J26">
        <v>20</v>
      </c>
    </row>
    <row r="27" spans="1:10" x14ac:dyDescent="0.25">
      <c r="A27" s="4">
        <v>44349</v>
      </c>
      <c r="B27">
        <v>3.4189998626708984E+16</v>
      </c>
      <c r="C27">
        <v>3334000015258789</v>
      </c>
      <c r="D27">
        <v>3.4150001525878904E+16</v>
      </c>
      <c r="E27">
        <v>3338999938964844</v>
      </c>
      <c r="F27">
        <v>150147000</v>
      </c>
      <c r="G27">
        <v>3338999938964844</v>
      </c>
      <c r="H27" s="1" t="s">
        <v>110</v>
      </c>
      <c r="I27" s="1" t="s">
        <v>343</v>
      </c>
      <c r="J27">
        <v>50</v>
      </c>
    </row>
    <row r="28" spans="1:10" x14ac:dyDescent="0.25">
      <c r="A28" s="4">
        <v>44349</v>
      </c>
      <c r="B28">
        <v>2.7209999084472656E+16</v>
      </c>
      <c r="C28">
        <v>2.6190000534057616E+16</v>
      </c>
      <c r="D28">
        <v>265</v>
      </c>
      <c r="E28">
        <v>2.7030000686645508E+16</v>
      </c>
      <c r="F28">
        <v>57903000</v>
      </c>
      <c r="G28">
        <v>2.7030000686645508E+16</v>
      </c>
      <c r="H28" s="1" t="s">
        <v>111</v>
      </c>
      <c r="I28" s="1" t="s">
        <v>296</v>
      </c>
      <c r="J28">
        <v>10</v>
      </c>
    </row>
    <row r="29" spans="1:10" x14ac:dyDescent="0.25">
      <c r="A29" s="4">
        <v>44349</v>
      </c>
      <c r="B29">
        <v>8923999786376953</v>
      </c>
      <c r="C29">
        <v>8562999725341797</v>
      </c>
      <c r="D29">
        <v>8851000213623047</v>
      </c>
      <c r="E29">
        <v>868499984741211</v>
      </c>
      <c r="F29">
        <v>36041000</v>
      </c>
      <c r="G29">
        <v>868499984741211</v>
      </c>
      <c r="H29" s="1" t="s">
        <v>112</v>
      </c>
      <c r="I29" s="1" t="s">
        <v>287</v>
      </c>
      <c r="J29">
        <v>0</v>
      </c>
    </row>
    <row r="30" spans="1:10" x14ac:dyDescent="0.25">
      <c r="A30" s="4">
        <v>44349</v>
      </c>
      <c r="B30">
        <v>392400016784668</v>
      </c>
      <c r="C30">
        <v>3840999984741211</v>
      </c>
      <c r="D30">
        <v>3879999923706055</v>
      </c>
      <c r="E30">
        <v>3922999954223633</v>
      </c>
      <c r="F30">
        <v>40514000</v>
      </c>
      <c r="G30">
        <v>3922999954223633</v>
      </c>
      <c r="H30" s="1" t="s">
        <v>113</v>
      </c>
      <c r="I30" s="1" t="s">
        <v>335</v>
      </c>
      <c r="J30">
        <v>20</v>
      </c>
    </row>
    <row r="31" spans="1:10" x14ac:dyDescent="0.25">
      <c r="A31" s="4">
        <v>44349</v>
      </c>
      <c r="B31">
        <v>3.0149999618530272E+16</v>
      </c>
      <c r="C31">
        <v>2.7950000762939452E+16</v>
      </c>
      <c r="D31">
        <v>2.8079999923706056E+16</v>
      </c>
      <c r="E31">
        <v>293799991607666</v>
      </c>
      <c r="F31">
        <v>535265000</v>
      </c>
      <c r="G31">
        <v>293799991607666</v>
      </c>
      <c r="H31" s="1" t="s">
        <v>114</v>
      </c>
      <c r="I31" s="1" t="s">
        <v>256</v>
      </c>
      <c r="J31">
        <v>10</v>
      </c>
    </row>
    <row r="32" spans="1:10" x14ac:dyDescent="0.25">
      <c r="A32" s="4">
        <v>44349</v>
      </c>
      <c r="B32">
        <v>2.6200000762939452E+16</v>
      </c>
      <c r="C32">
        <v>2.5190000534057616E+16</v>
      </c>
      <c r="D32">
        <v>2540999984741211</v>
      </c>
      <c r="E32">
        <v>2.5899999618530272E+16</v>
      </c>
      <c r="F32">
        <v>123618000</v>
      </c>
      <c r="G32">
        <v>2.5899999618530272E+16</v>
      </c>
      <c r="H32" s="1" t="s">
        <v>115</v>
      </c>
      <c r="I32" s="1" t="s">
        <v>287</v>
      </c>
      <c r="J32">
        <v>0</v>
      </c>
    </row>
    <row r="33" spans="1:10" x14ac:dyDescent="0.25">
      <c r="A33" s="4">
        <v>44349</v>
      </c>
      <c r="B33">
        <v>220</v>
      </c>
      <c r="C33">
        <v>2.1100000381469728E+16</v>
      </c>
      <c r="D33">
        <v>2.1290000915527344E+16</v>
      </c>
      <c r="E33">
        <v>2168000030517578</v>
      </c>
      <c r="F33">
        <v>95401000</v>
      </c>
      <c r="G33">
        <v>2168000030517578</v>
      </c>
      <c r="H33" s="1" t="s">
        <v>116</v>
      </c>
      <c r="I33" s="1" t="s">
        <v>287</v>
      </c>
      <c r="J33">
        <v>0</v>
      </c>
    </row>
    <row r="34" spans="1:10" x14ac:dyDescent="0.25">
      <c r="A34" s="4">
        <v>44349</v>
      </c>
      <c r="B34">
        <v>273700008392334</v>
      </c>
      <c r="C34">
        <v>2.6760000228881836E+16</v>
      </c>
      <c r="D34">
        <v>268799991607666</v>
      </c>
      <c r="E34">
        <v>2.7350000381469728E+16</v>
      </c>
      <c r="F34">
        <v>86073000</v>
      </c>
      <c r="G34">
        <v>2.7350000381469728E+16</v>
      </c>
      <c r="H34" s="1" t="s">
        <v>117</v>
      </c>
      <c r="I34" s="1" t="s">
        <v>341</v>
      </c>
      <c r="J34">
        <v>40</v>
      </c>
    </row>
    <row r="35" spans="1:10" x14ac:dyDescent="0.25">
      <c r="A35" s="4">
        <v>44349</v>
      </c>
      <c r="B35">
        <v>2.5200000762939452E+16</v>
      </c>
      <c r="C35">
        <v>2.4780000686645508E+16</v>
      </c>
      <c r="D35">
        <v>2.5040000915527344E+16</v>
      </c>
      <c r="E35">
        <v>2484000015258789</v>
      </c>
      <c r="F35">
        <v>39526000</v>
      </c>
      <c r="G35">
        <v>2484000015258789</v>
      </c>
      <c r="H35" s="1" t="s">
        <v>118</v>
      </c>
      <c r="I35" s="1" t="s">
        <v>281</v>
      </c>
      <c r="J35">
        <v>10</v>
      </c>
    </row>
    <row r="36" spans="1:10" x14ac:dyDescent="0.25">
      <c r="A36" s="4">
        <v>44349</v>
      </c>
      <c r="B36">
        <v>2.8450000762939452E+16</v>
      </c>
      <c r="C36">
        <v>2.7959999084472656E+16</v>
      </c>
      <c r="D36">
        <v>2.8260000228881836E+16</v>
      </c>
      <c r="E36">
        <v>2818000030517578</v>
      </c>
      <c r="F36">
        <v>32948000</v>
      </c>
      <c r="G36">
        <v>2818000030517578</v>
      </c>
      <c r="H36" s="1" t="s">
        <v>119</v>
      </c>
      <c r="I36" s="1" t="s">
        <v>284</v>
      </c>
      <c r="J36">
        <v>60</v>
      </c>
    </row>
    <row r="37" spans="1:10" x14ac:dyDescent="0.25">
      <c r="A37" s="4">
        <v>44349</v>
      </c>
      <c r="B37">
        <v>1.9450000762939452E+16</v>
      </c>
      <c r="C37">
        <v>1.8540000915527344E+16</v>
      </c>
      <c r="D37">
        <v>1.8540000915527344E+16</v>
      </c>
      <c r="E37">
        <v>1.8959999084472656E+16</v>
      </c>
      <c r="F37">
        <v>184522000</v>
      </c>
      <c r="G37">
        <v>1.8959999084472656E+16</v>
      </c>
      <c r="H37" s="1" t="s">
        <v>120</v>
      </c>
      <c r="I37" s="1" t="s">
        <v>256</v>
      </c>
      <c r="J37">
        <v>10</v>
      </c>
    </row>
    <row r="38" spans="1:10" x14ac:dyDescent="0.25">
      <c r="A38" s="4">
        <v>44349</v>
      </c>
      <c r="B38">
        <v>2.0290000915527344E+16</v>
      </c>
      <c r="C38">
        <v>1940999984741211</v>
      </c>
      <c r="D38">
        <v>2.0290000915527344E+16</v>
      </c>
      <c r="E38">
        <v>1959000015258789</v>
      </c>
      <c r="F38">
        <v>251713000</v>
      </c>
      <c r="G38">
        <v>1959000015258789</v>
      </c>
      <c r="H38" s="1" t="s">
        <v>121</v>
      </c>
      <c r="I38" s="1" t="s">
        <v>283</v>
      </c>
      <c r="J38">
        <v>20</v>
      </c>
    </row>
    <row r="39" spans="1:10" x14ac:dyDescent="0.25">
      <c r="A39" s="4">
        <v>44349</v>
      </c>
      <c r="B39">
        <v>3495000076293945</v>
      </c>
      <c r="C39">
        <v>3361000061035156</v>
      </c>
      <c r="D39">
        <v>3495000076293945</v>
      </c>
      <c r="E39">
        <v>3.3790000915527344E+16</v>
      </c>
      <c r="F39">
        <v>45490000</v>
      </c>
      <c r="G39">
        <v>3.3790000915527344E+16</v>
      </c>
      <c r="H39" s="1" t="s">
        <v>122</v>
      </c>
      <c r="I39" s="1" t="s">
        <v>283</v>
      </c>
      <c r="J39">
        <v>20</v>
      </c>
    </row>
    <row r="40" spans="1:10" x14ac:dyDescent="0.25">
      <c r="A40" s="4">
        <v>44349</v>
      </c>
      <c r="B40">
        <v>1.1399999618530272E+16</v>
      </c>
      <c r="C40">
        <v>1115999984741211</v>
      </c>
      <c r="D40">
        <v>1115999984741211</v>
      </c>
      <c r="E40">
        <v>1.1260000228881836E+16</v>
      </c>
      <c r="F40">
        <v>108828000</v>
      </c>
      <c r="G40">
        <v>1.1260000228881836E+16</v>
      </c>
      <c r="H40" s="1" t="s">
        <v>123</v>
      </c>
      <c r="I40" s="1" t="s">
        <v>338</v>
      </c>
      <c r="J40">
        <v>10</v>
      </c>
    </row>
    <row r="41" spans="1:10" x14ac:dyDescent="0.25">
      <c r="A41" s="4">
        <v>44349</v>
      </c>
      <c r="B41">
        <v>4797999954223633</v>
      </c>
      <c r="C41">
        <v>4633000183105469</v>
      </c>
      <c r="D41">
        <v>4.7709999084472656E+16</v>
      </c>
      <c r="E41">
        <v>4659000015258789</v>
      </c>
      <c r="F41">
        <v>98208000</v>
      </c>
      <c r="G41">
        <v>4659000015258789</v>
      </c>
      <c r="H41" s="1" t="s">
        <v>124</v>
      </c>
      <c r="I41" s="1" t="s">
        <v>344</v>
      </c>
      <c r="J41">
        <v>10</v>
      </c>
    </row>
    <row r="42" spans="1:10" x14ac:dyDescent="0.25">
      <c r="A42" s="4">
        <v>44349</v>
      </c>
      <c r="B42">
        <v>3722999954223633</v>
      </c>
      <c r="C42">
        <v>3611000061035156</v>
      </c>
      <c r="D42">
        <v>3.6880001068115232E+16</v>
      </c>
      <c r="E42">
        <v>3622999954223633</v>
      </c>
      <c r="F42">
        <v>37631000</v>
      </c>
      <c r="G42">
        <v>3622999954223633</v>
      </c>
      <c r="H42" s="1" t="s">
        <v>125</v>
      </c>
      <c r="I42" s="1" t="s">
        <v>287</v>
      </c>
      <c r="J42">
        <v>0</v>
      </c>
    </row>
    <row r="43" spans="1:10" x14ac:dyDescent="0.25">
      <c r="A43" s="4">
        <v>44349</v>
      </c>
      <c r="B43">
        <v>2.6170000076293944E+16</v>
      </c>
      <c r="C43">
        <v>2.5270000457763672E+16</v>
      </c>
      <c r="D43">
        <v>2.586000061035156E+16</v>
      </c>
      <c r="E43">
        <v>2540999984741211</v>
      </c>
      <c r="F43">
        <v>108732000</v>
      </c>
      <c r="G43">
        <v>2540999984741211</v>
      </c>
      <c r="H43" s="1" t="s">
        <v>126</v>
      </c>
      <c r="I43" s="1" t="s">
        <v>285</v>
      </c>
      <c r="J43">
        <v>10</v>
      </c>
    </row>
    <row r="44" spans="1:10" x14ac:dyDescent="0.25">
      <c r="A44" s="4">
        <v>44349</v>
      </c>
      <c r="B44">
        <v>2056999969482422</v>
      </c>
      <c r="C44">
        <v>1.9549999237060548E+16</v>
      </c>
      <c r="D44">
        <v>1.9799999237060548E+16</v>
      </c>
      <c r="E44">
        <v>2.0280000686645508E+16</v>
      </c>
      <c r="F44">
        <v>150083000</v>
      </c>
      <c r="G44">
        <v>2.0280000686645508E+16</v>
      </c>
      <c r="H44" s="1" t="s">
        <v>127</v>
      </c>
      <c r="I44" s="1" t="s">
        <v>287</v>
      </c>
      <c r="J44">
        <v>0</v>
      </c>
    </row>
    <row r="45" spans="1:10" x14ac:dyDescent="0.25">
      <c r="A45" s="4">
        <v>44349</v>
      </c>
      <c r="B45">
        <v>4113999938964844</v>
      </c>
      <c r="C45">
        <v>4.0290000915527344E+16</v>
      </c>
      <c r="D45">
        <v>4.0599998474121096E+16</v>
      </c>
      <c r="E45">
        <v>4045000076293945</v>
      </c>
      <c r="F45">
        <v>24920000</v>
      </c>
      <c r="G45">
        <v>4045000076293945</v>
      </c>
      <c r="H45" s="1" t="s">
        <v>128</v>
      </c>
      <c r="I45" s="1" t="s">
        <v>303</v>
      </c>
      <c r="J45">
        <v>10</v>
      </c>
    </row>
    <row r="46" spans="1:10" x14ac:dyDescent="0.25">
      <c r="A46" s="4">
        <v>44349</v>
      </c>
      <c r="B46">
        <v>2434000015258789</v>
      </c>
      <c r="C46">
        <v>2.3760000228881836E+16</v>
      </c>
      <c r="D46">
        <v>2.4100000381469728E+16</v>
      </c>
      <c r="E46">
        <v>2425</v>
      </c>
      <c r="F46">
        <v>55317000</v>
      </c>
      <c r="G46">
        <v>2425</v>
      </c>
      <c r="H46" s="1" t="s">
        <v>129</v>
      </c>
      <c r="I46" s="1" t="s">
        <v>341</v>
      </c>
      <c r="J46">
        <v>20</v>
      </c>
    </row>
    <row r="47" spans="1:10" x14ac:dyDescent="0.25">
      <c r="A47" s="4">
        <v>44349</v>
      </c>
      <c r="B47">
        <v>2.5479999542236328E+16</v>
      </c>
      <c r="C47">
        <v>246299991607666</v>
      </c>
      <c r="D47">
        <v>2.4899999618530272E+16</v>
      </c>
      <c r="E47">
        <v>2.5239999771118164E+16</v>
      </c>
      <c r="F47">
        <v>57603000</v>
      </c>
      <c r="G47">
        <v>2.5239999771118164E+16</v>
      </c>
      <c r="H47" s="1" t="s">
        <v>130</v>
      </c>
      <c r="I47" s="1" t="s">
        <v>287</v>
      </c>
      <c r="J47">
        <v>0</v>
      </c>
    </row>
    <row r="48" spans="1:10" x14ac:dyDescent="0.25">
      <c r="A48" s="4">
        <v>44349</v>
      </c>
      <c r="B48">
        <v>2.2940000534057616E+16</v>
      </c>
      <c r="C48">
        <v>2.2420000076293944E+16</v>
      </c>
      <c r="D48">
        <v>2.2450000762939452E+16</v>
      </c>
      <c r="E48">
        <v>2.2829999923706056E+16</v>
      </c>
      <c r="F48">
        <v>45783000</v>
      </c>
      <c r="G48">
        <v>2.2829999923706056E+16</v>
      </c>
      <c r="H48" s="1" t="s">
        <v>131</v>
      </c>
      <c r="I48" s="1" t="s">
        <v>256</v>
      </c>
      <c r="J48">
        <v>30</v>
      </c>
    </row>
    <row r="49" spans="1:10" x14ac:dyDescent="0.25">
      <c r="A49" s="4">
        <v>44349</v>
      </c>
      <c r="B49">
        <v>2659000015258789</v>
      </c>
      <c r="C49">
        <v>260</v>
      </c>
      <c r="D49">
        <v>2.6010000228881836E+16</v>
      </c>
      <c r="E49">
        <v>2625</v>
      </c>
      <c r="F49">
        <v>53377000</v>
      </c>
      <c r="G49">
        <v>2625</v>
      </c>
      <c r="H49" s="1" t="s">
        <v>132</v>
      </c>
      <c r="I49" s="1" t="s">
        <v>338</v>
      </c>
      <c r="J49">
        <v>10</v>
      </c>
    </row>
    <row r="50" spans="1:10" x14ac:dyDescent="0.25">
      <c r="A50" s="4">
        <v>44349</v>
      </c>
      <c r="B50">
        <v>2.4729999542236328E+16</v>
      </c>
      <c r="C50">
        <v>2.3920000076293944E+16</v>
      </c>
      <c r="D50">
        <v>2.4260000228881836E+16</v>
      </c>
      <c r="E50">
        <v>2.4100000381469728E+16</v>
      </c>
      <c r="F50">
        <v>87818000</v>
      </c>
      <c r="G50">
        <v>2.4100000381469728E+16</v>
      </c>
      <c r="H50" s="1" t="s">
        <v>133</v>
      </c>
      <c r="I50" s="1" t="s">
        <v>287</v>
      </c>
      <c r="J50">
        <v>0</v>
      </c>
    </row>
    <row r="51" spans="1:10" x14ac:dyDescent="0.25">
      <c r="A51" s="4">
        <v>44349</v>
      </c>
      <c r="B51">
        <v>2.1149999618530272E+16</v>
      </c>
      <c r="C51">
        <v>205</v>
      </c>
      <c r="D51">
        <v>2075</v>
      </c>
      <c r="E51">
        <v>2.086000061035156E+16</v>
      </c>
      <c r="F51">
        <v>69458000</v>
      </c>
      <c r="G51">
        <v>2.086000061035156E+16</v>
      </c>
      <c r="H51" s="1" t="s">
        <v>134</v>
      </c>
      <c r="I51" s="1" t="s">
        <v>347</v>
      </c>
      <c r="J51">
        <v>20</v>
      </c>
    </row>
    <row r="52" spans="1:10" x14ac:dyDescent="0.25">
      <c r="A52" s="4">
        <v>44349</v>
      </c>
      <c r="B52">
        <v>1615999984741211</v>
      </c>
      <c r="C52">
        <v>155600004196167</v>
      </c>
      <c r="D52">
        <v>1.6059999465942384E+16</v>
      </c>
      <c r="E52">
        <v>1.5800000190734864E+16</v>
      </c>
      <c r="F52">
        <v>181018000</v>
      </c>
      <c r="G52">
        <v>1.5800000190734864E+16</v>
      </c>
      <c r="H52" s="1" t="s">
        <v>135</v>
      </c>
      <c r="I52" s="1" t="s">
        <v>287</v>
      </c>
      <c r="J52">
        <v>0</v>
      </c>
    </row>
    <row r="53" spans="1:10" x14ac:dyDescent="0.25">
      <c r="A53" s="4">
        <v>44349</v>
      </c>
      <c r="B53">
        <v>3481999969482422</v>
      </c>
      <c r="C53">
        <v>3.4130001068115232E+16</v>
      </c>
      <c r="D53">
        <v>3413999938964844</v>
      </c>
      <c r="E53">
        <v>3.4470001220703124E+16</v>
      </c>
      <c r="F53">
        <v>31172000</v>
      </c>
      <c r="G53">
        <v>3.4470001220703124E+16</v>
      </c>
      <c r="H53" s="1" t="s">
        <v>136</v>
      </c>
      <c r="I53" s="1" t="s">
        <v>338</v>
      </c>
      <c r="J53">
        <v>10</v>
      </c>
    </row>
    <row r="54" spans="1:10" x14ac:dyDescent="0.25">
      <c r="A54" s="4">
        <v>44349</v>
      </c>
      <c r="B54">
        <v>2.8989999771118164E+16</v>
      </c>
      <c r="C54">
        <v>2834000015258789</v>
      </c>
      <c r="D54">
        <v>2.8989999771118164E+16</v>
      </c>
      <c r="E54">
        <v>2.8520000457763672E+16</v>
      </c>
      <c r="F54">
        <v>30929000</v>
      </c>
      <c r="G54">
        <v>2.8520000457763672E+16</v>
      </c>
      <c r="H54" s="1" t="s">
        <v>137</v>
      </c>
      <c r="I54" s="1" t="s">
        <v>283</v>
      </c>
      <c r="J54">
        <v>20</v>
      </c>
    </row>
    <row r="55" spans="1:10" x14ac:dyDescent="0.25">
      <c r="A55" s="4">
        <v>44349</v>
      </c>
      <c r="B55">
        <v>154399995803833</v>
      </c>
      <c r="C55">
        <v>149399995803833</v>
      </c>
      <c r="D55">
        <v>1534000015258789</v>
      </c>
      <c r="E55">
        <v>1.4989999771118164E+16</v>
      </c>
      <c r="F55">
        <v>106765000</v>
      </c>
      <c r="G55">
        <v>1.4989999771118164E+16</v>
      </c>
      <c r="H55" s="1" t="s">
        <v>138</v>
      </c>
      <c r="I55" s="1" t="s">
        <v>344</v>
      </c>
      <c r="J55">
        <v>10</v>
      </c>
    </row>
    <row r="56" spans="1:10" x14ac:dyDescent="0.25">
      <c r="A56" s="4">
        <v>44349</v>
      </c>
      <c r="B56">
        <v>7980000019073486</v>
      </c>
      <c r="C56">
        <v>7730000019073486</v>
      </c>
      <c r="D56">
        <v>7730000019073486</v>
      </c>
      <c r="E56">
        <v>7940000057220459</v>
      </c>
      <c r="F56">
        <v>62531000</v>
      </c>
      <c r="G56">
        <v>7940000057220459</v>
      </c>
      <c r="H56" s="1" t="s">
        <v>139</v>
      </c>
      <c r="I56" s="1" t="s">
        <v>256</v>
      </c>
      <c r="J56">
        <v>20</v>
      </c>
    </row>
    <row r="57" spans="1:10" x14ac:dyDescent="0.25">
      <c r="A57" s="4">
        <v>44349</v>
      </c>
      <c r="B57">
        <v>1.4020000457763672E+16</v>
      </c>
      <c r="C57">
        <v>1.3760000228881836E+16</v>
      </c>
      <c r="D57">
        <v>1.3880000114440918E+16</v>
      </c>
      <c r="E57">
        <v>1.3899999618530272E+16</v>
      </c>
      <c r="F57">
        <v>75496000</v>
      </c>
      <c r="G57">
        <v>1.3899999618530272E+16</v>
      </c>
      <c r="H57" s="1" t="s">
        <v>140</v>
      </c>
      <c r="I57" s="1" t="s">
        <v>284</v>
      </c>
      <c r="J57">
        <v>50</v>
      </c>
    </row>
    <row r="58" spans="1:10" x14ac:dyDescent="0.25">
      <c r="A58" s="4">
        <v>44349</v>
      </c>
      <c r="B58">
        <v>3358000183105469</v>
      </c>
      <c r="C58">
        <v>3.2400001525878904E+16</v>
      </c>
      <c r="D58">
        <v>3265999984741211</v>
      </c>
      <c r="E58">
        <v>3358000183105469</v>
      </c>
      <c r="F58">
        <v>52514000</v>
      </c>
      <c r="G58">
        <v>3358000183105469</v>
      </c>
      <c r="H58" s="1" t="s">
        <v>141</v>
      </c>
      <c r="I58" s="1" t="s">
        <v>335</v>
      </c>
      <c r="J58">
        <v>10</v>
      </c>
    </row>
    <row r="59" spans="1:10" x14ac:dyDescent="0.25">
      <c r="A59" s="4">
        <v>44349</v>
      </c>
      <c r="B59">
        <v>1.393000030517578E+16</v>
      </c>
      <c r="C59">
        <v>1375</v>
      </c>
      <c r="D59">
        <v>1.3770000457763672E+16</v>
      </c>
      <c r="E59">
        <v>1.3899999618530272E+16</v>
      </c>
      <c r="F59">
        <v>87435000</v>
      </c>
      <c r="G59">
        <v>1.3899999618530272E+16</v>
      </c>
      <c r="H59" s="1" t="s">
        <v>142</v>
      </c>
      <c r="I59" s="1" t="s">
        <v>286</v>
      </c>
      <c r="J59">
        <v>10</v>
      </c>
    </row>
    <row r="60" spans="1:10" x14ac:dyDescent="0.25">
      <c r="A60" s="4">
        <v>44349</v>
      </c>
      <c r="B60">
        <v>1.8149999618530272E+16</v>
      </c>
      <c r="C60">
        <v>1765999984741211</v>
      </c>
      <c r="D60">
        <v>1.8049999237060548E+16</v>
      </c>
      <c r="E60">
        <v>1781999969482422</v>
      </c>
      <c r="F60">
        <v>72002000</v>
      </c>
      <c r="G60">
        <v>1781999969482422</v>
      </c>
      <c r="H60" s="1" t="s">
        <v>143</v>
      </c>
      <c r="I60" s="1" t="s">
        <v>281</v>
      </c>
      <c r="J60">
        <v>10</v>
      </c>
    </row>
    <row r="61" spans="1:10" x14ac:dyDescent="0.25">
      <c r="A61" s="4">
        <v>44349</v>
      </c>
      <c r="B61">
        <v>437599983215332</v>
      </c>
      <c r="C61">
        <v>4290999984741211</v>
      </c>
      <c r="D61">
        <v>4311000061035156</v>
      </c>
      <c r="E61">
        <v>4.3650001525878904E+16</v>
      </c>
      <c r="F61">
        <v>29443000</v>
      </c>
      <c r="G61">
        <v>4.3650001525878904E+16</v>
      </c>
      <c r="H61" s="1" t="s">
        <v>336</v>
      </c>
      <c r="I61" s="1" t="s">
        <v>288</v>
      </c>
      <c r="J61">
        <v>10</v>
      </c>
    </row>
    <row r="62" spans="1:10" x14ac:dyDescent="0.25">
      <c r="A62" s="4">
        <v>44349</v>
      </c>
      <c r="B62">
        <v>3.4040000915527344E+16</v>
      </c>
      <c r="C62">
        <v>322400016784668</v>
      </c>
      <c r="D62">
        <v>3.2880001068115232E+16</v>
      </c>
      <c r="E62">
        <v>3333000183105469</v>
      </c>
      <c r="F62">
        <v>51739000</v>
      </c>
      <c r="G62">
        <v>3333000183105469</v>
      </c>
      <c r="H62" s="1" t="s">
        <v>144</v>
      </c>
      <c r="I62" s="1" t="s">
        <v>302</v>
      </c>
      <c r="J62">
        <v>10</v>
      </c>
    </row>
    <row r="63" spans="1:10" x14ac:dyDescent="0.25">
      <c r="A63" s="4">
        <v>44349</v>
      </c>
      <c r="B63">
        <v>4.5380001068115232E+16</v>
      </c>
      <c r="C63">
        <v>4.4560001373291016E+16</v>
      </c>
      <c r="D63">
        <v>450</v>
      </c>
      <c r="E63">
        <v>4.4720001220703128E+16</v>
      </c>
      <c r="F63">
        <v>15277000</v>
      </c>
      <c r="G63">
        <v>4.4720001220703128E+16</v>
      </c>
      <c r="H63" s="1" t="s">
        <v>145</v>
      </c>
      <c r="I63" s="1" t="s">
        <v>338</v>
      </c>
      <c r="J63">
        <v>20</v>
      </c>
    </row>
    <row r="64" spans="1:10" x14ac:dyDescent="0.25">
      <c r="A64" s="4">
        <v>44349</v>
      </c>
      <c r="B64">
        <v>1.0359999656677246E+16</v>
      </c>
      <c r="C64">
        <v>1.0050000190734864E+16</v>
      </c>
      <c r="D64">
        <v>1.0079999923706056E+16</v>
      </c>
      <c r="E64">
        <v>101899995803833</v>
      </c>
      <c r="F64">
        <v>127672000</v>
      </c>
      <c r="G64">
        <v>101899995803833</v>
      </c>
      <c r="H64" s="1" t="s">
        <v>146</v>
      </c>
      <c r="I64" s="1" t="s">
        <v>287</v>
      </c>
      <c r="J64">
        <v>0</v>
      </c>
    </row>
    <row r="65" spans="1:10" x14ac:dyDescent="0.25">
      <c r="A65" s="4">
        <v>44349</v>
      </c>
      <c r="B65">
        <v>7341000366210938</v>
      </c>
      <c r="C65">
        <v>7152999877929688</v>
      </c>
      <c r="D65">
        <v>720</v>
      </c>
      <c r="E65">
        <v>7272000122070312</v>
      </c>
      <c r="F65">
        <v>24473000</v>
      </c>
      <c r="G65">
        <v>7272000122070312</v>
      </c>
      <c r="H65" s="1" t="s">
        <v>147</v>
      </c>
      <c r="I65" s="1" t="s">
        <v>287</v>
      </c>
      <c r="J65">
        <v>0</v>
      </c>
    </row>
    <row r="66" spans="1:10" x14ac:dyDescent="0.25">
      <c r="A66" s="4">
        <v>44349</v>
      </c>
      <c r="B66">
        <v>1.8020000457763672E+16</v>
      </c>
      <c r="C66">
        <v>1.7649999618530272E+16</v>
      </c>
      <c r="D66">
        <v>1.7729999542236328E+16</v>
      </c>
      <c r="E66">
        <v>178700008392334</v>
      </c>
      <c r="F66">
        <v>39398000</v>
      </c>
      <c r="G66">
        <v>178700008392334</v>
      </c>
      <c r="H66" s="1" t="s">
        <v>148</v>
      </c>
      <c r="I66" s="1" t="s">
        <v>287</v>
      </c>
      <c r="J66">
        <v>0</v>
      </c>
    </row>
    <row r="67" spans="1:10" x14ac:dyDescent="0.25">
      <c r="A67" s="4">
        <v>44349</v>
      </c>
      <c r="B67">
        <v>2993000030517578</v>
      </c>
      <c r="C67">
        <v>2.9420000076293944E+16</v>
      </c>
      <c r="D67">
        <v>2.961000061035156E+16</v>
      </c>
      <c r="E67">
        <v>2.9530000686645508E+16</v>
      </c>
      <c r="F67">
        <v>20664000</v>
      </c>
      <c r="G67">
        <v>2.9530000686645508E+16</v>
      </c>
      <c r="H67" s="1" t="s">
        <v>149</v>
      </c>
      <c r="I67" s="1" t="s">
        <v>303</v>
      </c>
      <c r="J67">
        <v>10</v>
      </c>
    </row>
    <row r="68" spans="1:10" x14ac:dyDescent="0.25">
      <c r="A68" s="4">
        <v>44349</v>
      </c>
      <c r="B68">
        <v>4.0880001068115232E+16</v>
      </c>
      <c r="C68">
        <v>4033000183105469</v>
      </c>
      <c r="D68">
        <v>4.0439998626708984E+16</v>
      </c>
      <c r="E68">
        <v>4.0439998626708984E+16</v>
      </c>
      <c r="F68">
        <v>9318000</v>
      </c>
      <c r="G68">
        <v>4.0439998626708984E+16</v>
      </c>
      <c r="H68" s="1" t="s">
        <v>150</v>
      </c>
      <c r="I68" s="1" t="s">
        <v>349</v>
      </c>
      <c r="J68">
        <v>60</v>
      </c>
    </row>
    <row r="69" spans="1:10" x14ac:dyDescent="0.25">
      <c r="A69" s="4">
        <v>44349</v>
      </c>
      <c r="B69">
        <v>4.4279998779296872E+16</v>
      </c>
      <c r="C69">
        <v>430</v>
      </c>
      <c r="D69">
        <v>4320000076293945</v>
      </c>
      <c r="E69">
        <v>4.3400001525878904E+16</v>
      </c>
      <c r="F69">
        <v>17601000</v>
      </c>
      <c r="G69">
        <v>4.3400001525878904E+16</v>
      </c>
      <c r="H69" s="1" t="s">
        <v>151</v>
      </c>
      <c r="I69" s="1" t="s">
        <v>287</v>
      </c>
      <c r="J69">
        <v>0</v>
      </c>
    </row>
    <row r="70" spans="1:10" x14ac:dyDescent="0.25">
      <c r="A70" s="4">
        <v>44349</v>
      </c>
      <c r="B70">
        <v>3790999984741211</v>
      </c>
      <c r="C70">
        <v>3.7150001525878904E+16</v>
      </c>
      <c r="D70">
        <v>3.7689998626708984E+16</v>
      </c>
      <c r="E70">
        <v>3777000045776367</v>
      </c>
      <c r="F70">
        <v>9375000</v>
      </c>
      <c r="G70">
        <v>3777000045776367</v>
      </c>
      <c r="H70" s="1" t="s">
        <v>152</v>
      </c>
      <c r="I70" s="1" t="s">
        <v>302</v>
      </c>
      <c r="J70">
        <v>10</v>
      </c>
    </row>
    <row r="71" spans="1:10" x14ac:dyDescent="0.25">
      <c r="A71" s="4">
        <v>44349</v>
      </c>
      <c r="B71">
        <v>1859000015258789</v>
      </c>
      <c r="C71">
        <v>1.7700000762939452E+16</v>
      </c>
      <c r="D71">
        <v>1.8270000457763672E+16</v>
      </c>
      <c r="E71">
        <v>1.7790000915527344E+16</v>
      </c>
      <c r="F71">
        <v>85794000</v>
      </c>
      <c r="G71">
        <v>1.7790000915527344E+16</v>
      </c>
      <c r="H71" s="1" t="s">
        <v>153</v>
      </c>
      <c r="I71" s="1" t="s">
        <v>287</v>
      </c>
      <c r="J71">
        <v>0</v>
      </c>
    </row>
    <row r="72" spans="1:10" x14ac:dyDescent="0.25">
      <c r="A72" s="4">
        <v>44349</v>
      </c>
      <c r="B72">
        <v>5.6540000915527344E+16</v>
      </c>
      <c r="C72">
        <v>5283000183105469</v>
      </c>
      <c r="D72">
        <v>5336000061035156</v>
      </c>
      <c r="E72">
        <v>5591999816894531</v>
      </c>
      <c r="F72">
        <v>54132000</v>
      </c>
      <c r="G72">
        <v>5591999816894531</v>
      </c>
      <c r="H72" s="1" t="s">
        <v>154</v>
      </c>
      <c r="I72" s="1" t="s">
        <v>288</v>
      </c>
      <c r="J72">
        <v>10</v>
      </c>
    </row>
    <row r="73" spans="1:10" x14ac:dyDescent="0.25">
      <c r="A73" s="4">
        <v>44349</v>
      </c>
      <c r="B73">
        <v>1.3119999885559082E+16</v>
      </c>
      <c r="C73">
        <v>1.2699999809265136E+16</v>
      </c>
      <c r="D73">
        <v>1.2829999923706056E+16</v>
      </c>
      <c r="E73">
        <v>1.2989999771118164E+16</v>
      </c>
      <c r="F73">
        <v>64299000</v>
      </c>
      <c r="G73">
        <v>1.2989999771118164E+16</v>
      </c>
      <c r="H73" s="1" t="s">
        <v>155</v>
      </c>
      <c r="I73" s="1" t="s">
        <v>287</v>
      </c>
      <c r="J73">
        <v>0</v>
      </c>
    </row>
    <row r="74" spans="1:10" x14ac:dyDescent="0.25">
      <c r="A74" s="4">
        <v>44349</v>
      </c>
      <c r="B74">
        <v>3.9849998474121096E+16</v>
      </c>
      <c r="C74">
        <v>3929999923706055</v>
      </c>
      <c r="D74">
        <v>3966999816894531</v>
      </c>
      <c r="E74">
        <v>3.9529998779296872E+16</v>
      </c>
      <c r="F74">
        <v>15260000</v>
      </c>
      <c r="G74">
        <v>3.9529998779296872E+16</v>
      </c>
      <c r="H74" s="1" t="s">
        <v>337</v>
      </c>
      <c r="I74" s="1" t="s">
        <v>303</v>
      </c>
      <c r="J74">
        <v>10</v>
      </c>
    </row>
    <row r="75" spans="1:10" x14ac:dyDescent="0.25">
      <c r="A75" s="4">
        <v>44349</v>
      </c>
      <c r="B75">
        <v>2.0540000915527344E+16</v>
      </c>
      <c r="C75">
        <v>2009000015258789</v>
      </c>
      <c r="D75">
        <v>2.0170000076293944E+16</v>
      </c>
      <c r="E75">
        <v>2.0540000915527344E+16</v>
      </c>
      <c r="F75">
        <v>34393000</v>
      </c>
      <c r="G75">
        <v>2.0540000915527344E+16</v>
      </c>
      <c r="H75" s="1" t="s">
        <v>156</v>
      </c>
      <c r="I75" s="1" t="s">
        <v>335</v>
      </c>
      <c r="J75">
        <v>20</v>
      </c>
    </row>
    <row r="76" spans="1:10" x14ac:dyDescent="0.25">
      <c r="A76" s="4">
        <v>44349</v>
      </c>
      <c r="B76">
        <v>2.4450000762939452E+16</v>
      </c>
      <c r="C76">
        <v>240</v>
      </c>
      <c r="D76">
        <v>2.4170000076293944E+16</v>
      </c>
      <c r="E76">
        <v>2415999984741211</v>
      </c>
      <c r="F76">
        <v>28029000</v>
      </c>
      <c r="G76">
        <v>2415999984741211</v>
      </c>
      <c r="H76" s="1" t="s">
        <v>157</v>
      </c>
      <c r="I76" s="1" t="s">
        <v>284</v>
      </c>
      <c r="J76">
        <v>50</v>
      </c>
    </row>
    <row r="77" spans="1:10" x14ac:dyDescent="0.25">
      <c r="A77" s="4">
        <v>44349</v>
      </c>
      <c r="B77">
        <v>4150000095367432</v>
      </c>
      <c r="C77">
        <v>403000020980835</v>
      </c>
      <c r="D77">
        <v>4099999904632568</v>
      </c>
      <c r="E77">
        <v>4110000133514404</v>
      </c>
      <c r="F77">
        <v>44086000</v>
      </c>
      <c r="G77">
        <v>4110000133514404</v>
      </c>
      <c r="H77" s="1" t="s">
        <v>158</v>
      </c>
      <c r="I77" s="1" t="s">
        <v>284</v>
      </c>
      <c r="J77">
        <v>60</v>
      </c>
    </row>
    <row r="78" spans="1:10" x14ac:dyDescent="0.25">
      <c r="A78" s="4">
        <v>44349</v>
      </c>
      <c r="B78">
        <v>2.7309999465942384E+16</v>
      </c>
      <c r="C78">
        <v>2.6299999237060548E+16</v>
      </c>
      <c r="D78">
        <v>2.7299999237060548E+16</v>
      </c>
      <c r="E78">
        <v>2.6649999618530272E+16</v>
      </c>
      <c r="F78">
        <v>26688000</v>
      </c>
      <c r="G78">
        <v>2.6649999618530272E+16</v>
      </c>
      <c r="H78" s="1" t="s">
        <v>159</v>
      </c>
      <c r="I78" s="1" t="s">
        <v>283</v>
      </c>
      <c r="J78">
        <v>10</v>
      </c>
    </row>
    <row r="79" spans="1:10" x14ac:dyDescent="0.25">
      <c r="A79" s="4">
        <v>44349</v>
      </c>
      <c r="B79">
        <v>2.8100000381469728E+16</v>
      </c>
      <c r="C79">
        <v>2.7469999313354492E+16</v>
      </c>
      <c r="D79">
        <v>2775</v>
      </c>
      <c r="E79">
        <v>2.8020000457763672E+16</v>
      </c>
      <c r="F79">
        <v>37489000</v>
      </c>
      <c r="G79">
        <v>2.8020000457763672E+16</v>
      </c>
      <c r="H79" s="1" t="s">
        <v>160</v>
      </c>
      <c r="I79" s="1" t="s">
        <v>339</v>
      </c>
      <c r="J79">
        <v>10</v>
      </c>
    </row>
    <row r="80" spans="1:10" x14ac:dyDescent="0.25">
      <c r="A80" s="4">
        <v>44349</v>
      </c>
      <c r="B80">
        <v>4870000076293945</v>
      </c>
      <c r="C80">
        <v>4727000045776367</v>
      </c>
      <c r="D80">
        <v>4.8380001068115232E+16</v>
      </c>
      <c r="E80">
        <v>4766999816894531</v>
      </c>
      <c r="F80">
        <v>15295000</v>
      </c>
      <c r="G80">
        <v>4766999816894531</v>
      </c>
      <c r="H80" s="1" t="s">
        <v>161</v>
      </c>
      <c r="I80" s="1" t="s">
        <v>344</v>
      </c>
      <c r="J80">
        <v>10</v>
      </c>
    </row>
    <row r="81" spans="1:10" x14ac:dyDescent="0.25">
      <c r="A81" s="4">
        <v>44349</v>
      </c>
      <c r="B81">
        <v>4630000114440918</v>
      </c>
      <c r="C81">
        <v>45</v>
      </c>
      <c r="D81">
        <v>4570000171661377</v>
      </c>
      <c r="E81">
        <v>4590000152587891</v>
      </c>
      <c r="F81">
        <v>45710000</v>
      </c>
      <c r="G81">
        <v>4590000152587891</v>
      </c>
      <c r="H81" s="1" t="s">
        <v>162</v>
      </c>
      <c r="I81" s="1" t="s">
        <v>302</v>
      </c>
      <c r="J81">
        <v>10</v>
      </c>
    </row>
    <row r="82" spans="1:10" x14ac:dyDescent="0.25">
      <c r="A82" s="4">
        <v>44349</v>
      </c>
      <c r="B82">
        <v>85</v>
      </c>
      <c r="C82">
        <v>7769999980926514</v>
      </c>
      <c r="D82">
        <v>7809999942779541</v>
      </c>
      <c r="E82">
        <v>8479999542236328</v>
      </c>
      <c r="F82">
        <v>188316000</v>
      </c>
      <c r="G82">
        <v>8479999542236328</v>
      </c>
      <c r="H82" s="1" t="s">
        <v>163</v>
      </c>
      <c r="I82" s="1" t="s">
        <v>335</v>
      </c>
      <c r="J82">
        <v>20</v>
      </c>
    </row>
    <row r="83" spans="1:10" x14ac:dyDescent="0.25">
      <c r="A83" s="4">
        <v>44349</v>
      </c>
      <c r="B83">
        <v>329900016784668</v>
      </c>
      <c r="C83">
        <v>3.1920000076293944E+16</v>
      </c>
      <c r="D83">
        <v>3.2599998474121096E+16</v>
      </c>
      <c r="E83">
        <v>3233000183105469</v>
      </c>
      <c r="F83">
        <v>29583000</v>
      </c>
      <c r="G83">
        <v>3233000183105469</v>
      </c>
      <c r="H83" s="1" t="s">
        <v>164</v>
      </c>
      <c r="I83" s="1" t="s">
        <v>303</v>
      </c>
      <c r="J83">
        <v>10</v>
      </c>
    </row>
    <row r="84" spans="1:10" x14ac:dyDescent="0.25">
      <c r="A84" s="4">
        <v>44349</v>
      </c>
      <c r="B84">
        <v>1.9479999542236328E+16</v>
      </c>
      <c r="C84">
        <v>1.9040000915527344E+16</v>
      </c>
      <c r="D84">
        <v>1.9260000228881836E+16</v>
      </c>
      <c r="E84">
        <v>1.9200000762939452E+16</v>
      </c>
      <c r="F84">
        <v>26799000</v>
      </c>
      <c r="G84">
        <v>1.9200000762939452E+16</v>
      </c>
      <c r="H84" s="1" t="s">
        <v>165</v>
      </c>
      <c r="I84" s="1" t="s">
        <v>284</v>
      </c>
      <c r="J84">
        <v>50</v>
      </c>
    </row>
    <row r="85" spans="1:10" x14ac:dyDescent="0.25">
      <c r="A85" s="4">
        <v>44349</v>
      </c>
      <c r="B85">
        <v>1.6350000381469728E+16</v>
      </c>
      <c r="C85">
        <v>160</v>
      </c>
      <c r="D85">
        <v>1.6229999542236328E+16</v>
      </c>
      <c r="E85">
        <v>1.6219999313354492E+16</v>
      </c>
      <c r="F85">
        <v>30582000</v>
      </c>
      <c r="G85">
        <v>1.6219999313354492E+16</v>
      </c>
      <c r="H85" s="1" t="s">
        <v>166</v>
      </c>
      <c r="I85" s="1" t="s">
        <v>284</v>
      </c>
      <c r="J85">
        <v>50</v>
      </c>
    </row>
    <row r="86" spans="1:10" x14ac:dyDescent="0.25">
      <c r="A86" s="4">
        <v>44349</v>
      </c>
      <c r="B86">
        <v>3.0770000457763672E+16</v>
      </c>
      <c r="C86">
        <v>2968000030517578</v>
      </c>
      <c r="D86">
        <v>2.9700000762939452E+16</v>
      </c>
      <c r="E86">
        <v>3.0350000381469728E+16</v>
      </c>
      <c r="F86">
        <v>14545000</v>
      </c>
      <c r="G86">
        <v>3.0350000381469728E+16</v>
      </c>
      <c r="H86" s="1" t="s">
        <v>167</v>
      </c>
      <c r="I86" s="1" t="s">
        <v>256</v>
      </c>
      <c r="J86">
        <v>10</v>
      </c>
    </row>
    <row r="87" spans="1:10" x14ac:dyDescent="0.25">
      <c r="A87" s="4">
        <v>44349</v>
      </c>
      <c r="B87">
        <v>5436000061035156</v>
      </c>
      <c r="C87">
        <v>5.2779998779296872E+16</v>
      </c>
      <c r="D87">
        <v>5408000183105469</v>
      </c>
      <c r="E87">
        <v>5.2790000915527344E+16</v>
      </c>
      <c r="F87">
        <v>12006000</v>
      </c>
      <c r="G87">
        <v>5.2790000915527344E+16</v>
      </c>
      <c r="H87" s="1" t="s">
        <v>168</v>
      </c>
      <c r="I87" s="1" t="s">
        <v>343</v>
      </c>
      <c r="J87">
        <v>20</v>
      </c>
    </row>
    <row r="88" spans="1:10" x14ac:dyDescent="0.25">
      <c r="A88" s="4">
        <v>44349</v>
      </c>
      <c r="B88">
        <v>188799991607666</v>
      </c>
      <c r="C88">
        <v>1865999984741211</v>
      </c>
      <c r="D88">
        <v>1.8809999465942384E+16</v>
      </c>
      <c r="E88">
        <v>1.8700000762939452E+16</v>
      </c>
      <c r="F88">
        <v>28957000</v>
      </c>
      <c r="G88">
        <v>1.8700000762939452E+16</v>
      </c>
      <c r="H88" s="1" t="s">
        <v>169</v>
      </c>
      <c r="I88" s="1" t="s">
        <v>344</v>
      </c>
      <c r="J88">
        <v>10</v>
      </c>
    </row>
    <row r="89" spans="1:10" x14ac:dyDescent="0.25">
      <c r="A89" s="4">
        <v>44349</v>
      </c>
      <c r="B89">
        <v>1.1239999771118164E+16</v>
      </c>
      <c r="C89">
        <v>1.0800000190734864E+16</v>
      </c>
      <c r="D89">
        <v>1.0869999885559082E+16</v>
      </c>
      <c r="E89">
        <v>1.1140000343322754E+16</v>
      </c>
      <c r="F89">
        <v>21180000</v>
      </c>
      <c r="G89">
        <v>1.1140000343322754E+16</v>
      </c>
      <c r="H89" s="1" t="s">
        <v>170</v>
      </c>
      <c r="I89" s="1" t="s">
        <v>287</v>
      </c>
      <c r="J89">
        <v>0</v>
      </c>
    </row>
    <row r="90" spans="1:10" x14ac:dyDescent="0.25">
      <c r="A90" s="4">
        <v>44349</v>
      </c>
      <c r="B90">
        <v>2.561000061035156E+16</v>
      </c>
      <c r="C90">
        <v>2.5020000457763672E+16</v>
      </c>
      <c r="D90">
        <v>2.5399999618530272E+16</v>
      </c>
      <c r="E90">
        <v>2.5399999618530272E+16</v>
      </c>
      <c r="F90">
        <v>7942000</v>
      </c>
      <c r="G90">
        <v>2.5399999618530272E+16</v>
      </c>
      <c r="H90" s="1" t="s">
        <v>171</v>
      </c>
      <c r="I90" s="1" t="s">
        <v>284</v>
      </c>
      <c r="J90">
        <v>50</v>
      </c>
    </row>
    <row r="91" spans="1:10" x14ac:dyDescent="0.25">
      <c r="A91" s="4">
        <v>44349</v>
      </c>
      <c r="B91">
        <v>2.9940000534057616E+16</v>
      </c>
      <c r="C91">
        <v>2.9219999313354492E+16</v>
      </c>
      <c r="D91">
        <v>2.9690000534057616E+16</v>
      </c>
      <c r="E91">
        <v>2.9799999237060548E+16</v>
      </c>
      <c r="F91">
        <v>14043000</v>
      </c>
      <c r="G91">
        <v>2.9799999237060548E+16</v>
      </c>
      <c r="H91" s="1" t="s">
        <v>172</v>
      </c>
      <c r="I91" s="1" t="s">
        <v>302</v>
      </c>
      <c r="J91">
        <v>10</v>
      </c>
    </row>
    <row r="92" spans="1:10" x14ac:dyDescent="0.25">
      <c r="A92" s="4">
        <v>44349</v>
      </c>
      <c r="B92">
        <v>3.2130001068115232E+16</v>
      </c>
      <c r="C92">
        <v>3.1309999465942384E+16</v>
      </c>
      <c r="D92">
        <v>3.1309999465942384E+16</v>
      </c>
      <c r="E92">
        <v>3.1899999618530272E+16</v>
      </c>
      <c r="F92">
        <v>23724000</v>
      </c>
      <c r="G92">
        <v>3.1899999618530272E+16</v>
      </c>
      <c r="H92" s="1" t="s">
        <v>173</v>
      </c>
      <c r="I92" s="1" t="s">
        <v>256</v>
      </c>
      <c r="J92">
        <v>20</v>
      </c>
    </row>
    <row r="93" spans="1:10" x14ac:dyDescent="0.25">
      <c r="A93" s="4">
        <v>44349</v>
      </c>
      <c r="B93">
        <v>6794999694824219</v>
      </c>
      <c r="C93">
        <v>6445999908447266</v>
      </c>
      <c r="D93">
        <v>6594999694824219</v>
      </c>
      <c r="E93">
        <v>6583999633789062</v>
      </c>
      <c r="F93">
        <v>23901000</v>
      </c>
      <c r="G93">
        <v>6583999633789062</v>
      </c>
      <c r="H93" s="1" t="s">
        <v>206</v>
      </c>
      <c r="I93" s="1" t="s">
        <v>284</v>
      </c>
      <c r="J93">
        <v>60</v>
      </c>
    </row>
    <row r="94" spans="1:10" x14ac:dyDescent="0.25">
      <c r="A94" s="4">
        <v>44349</v>
      </c>
      <c r="B94">
        <v>2.2899999618530272E+16</v>
      </c>
      <c r="C94">
        <v>2.2020000457763672E+16</v>
      </c>
      <c r="D94">
        <v>2243000030517578</v>
      </c>
      <c r="E94">
        <v>2.2790000915527344E+16</v>
      </c>
      <c r="F94">
        <v>7118000</v>
      </c>
      <c r="G94">
        <v>2.2790000915527344E+16</v>
      </c>
      <c r="H94" s="1" t="s">
        <v>174</v>
      </c>
      <c r="I94" s="1" t="s">
        <v>287</v>
      </c>
      <c r="J94">
        <v>0</v>
      </c>
    </row>
    <row r="95" spans="1:10" x14ac:dyDescent="0.25">
      <c r="A95" s="4">
        <v>44349</v>
      </c>
      <c r="B95">
        <v>1.5039999961853028E+16</v>
      </c>
      <c r="C95">
        <v>1.4600000381469728E+16</v>
      </c>
      <c r="D95">
        <v>1.4770000457763672E+16</v>
      </c>
      <c r="E95">
        <v>150</v>
      </c>
      <c r="F95">
        <v>47596000</v>
      </c>
      <c r="G95">
        <v>150</v>
      </c>
      <c r="H95" s="1" t="s">
        <v>175</v>
      </c>
      <c r="I95" s="1" t="s">
        <v>285</v>
      </c>
      <c r="J95">
        <v>10</v>
      </c>
    </row>
    <row r="96" spans="1:10" x14ac:dyDescent="0.25">
      <c r="A96" s="4">
        <v>44349</v>
      </c>
      <c r="B96">
        <v>276299991607666</v>
      </c>
      <c r="C96">
        <v>2.6790000915527344E+16</v>
      </c>
      <c r="D96">
        <v>2740999984741211</v>
      </c>
      <c r="E96">
        <v>268799991607666</v>
      </c>
      <c r="F96">
        <v>14204000</v>
      </c>
      <c r="G96">
        <v>268799991607666</v>
      </c>
      <c r="H96" s="1" t="s">
        <v>176</v>
      </c>
      <c r="I96" s="1" t="s">
        <v>257</v>
      </c>
      <c r="J96">
        <v>10</v>
      </c>
    </row>
    <row r="97" spans="1:10" x14ac:dyDescent="0.25">
      <c r="A97" s="4">
        <v>44349</v>
      </c>
      <c r="B97">
        <v>2799999952316284</v>
      </c>
      <c r="C97">
        <v>2.7300000190734864E+16</v>
      </c>
      <c r="D97">
        <v>2.7300000190734864E+16</v>
      </c>
      <c r="E97">
        <v>2799999952316284</v>
      </c>
      <c r="F97">
        <v>47256000</v>
      </c>
      <c r="G97">
        <v>2799999952316284</v>
      </c>
      <c r="H97" s="1" t="s">
        <v>177</v>
      </c>
      <c r="I97" s="1" t="s">
        <v>256</v>
      </c>
      <c r="J97">
        <v>50</v>
      </c>
    </row>
    <row r="98" spans="1:10" x14ac:dyDescent="0.25">
      <c r="A98" s="4">
        <v>44349</v>
      </c>
      <c r="B98">
        <v>1475</v>
      </c>
      <c r="C98">
        <v>139399995803833</v>
      </c>
      <c r="D98">
        <v>1.4010000228881836E+16</v>
      </c>
      <c r="E98">
        <v>1.4600000381469728E+16</v>
      </c>
      <c r="F98">
        <v>40738000</v>
      </c>
      <c r="G98">
        <v>1.4600000381469728E+16</v>
      </c>
      <c r="H98" s="1" t="s">
        <v>178</v>
      </c>
      <c r="I98" s="1" t="s">
        <v>287</v>
      </c>
      <c r="J98">
        <v>0</v>
      </c>
    </row>
    <row r="99" spans="1:10" x14ac:dyDescent="0.25">
      <c r="A99" s="4">
        <v>44349</v>
      </c>
      <c r="B99">
        <v>3.6220001220703128E+16</v>
      </c>
      <c r="C99">
        <v>3.4939998626708984E+16</v>
      </c>
      <c r="D99">
        <v>3508000183105469</v>
      </c>
      <c r="E99">
        <v>3.5619998931884768E+16</v>
      </c>
      <c r="F99">
        <v>13791000</v>
      </c>
      <c r="G99">
        <v>3.5619998931884768E+16</v>
      </c>
      <c r="H99" s="1" t="s">
        <v>179</v>
      </c>
      <c r="I99" s="1" t="s">
        <v>287</v>
      </c>
      <c r="J99">
        <v>0</v>
      </c>
    </row>
    <row r="100" spans="1:10" x14ac:dyDescent="0.25">
      <c r="A100" s="4">
        <v>44349</v>
      </c>
      <c r="B100">
        <v>8858999633789062</v>
      </c>
      <c r="C100">
        <v>8712000274658203</v>
      </c>
      <c r="D100">
        <v>8858999633789062</v>
      </c>
      <c r="E100">
        <v>873499984741211</v>
      </c>
      <c r="F100">
        <v>4148000</v>
      </c>
      <c r="G100">
        <v>873499984741211</v>
      </c>
      <c r="H100" s="1" t="s">
        <v>180</v>
      </c>
      <c r="I100" s="1" t="s">
        <v>283</v>
      </c>
      <c r="J100">
        <v>30</v>
      </c>
    </row>
    <row r="101" spans="1:10" x14ac:dyDescent="0.25">
      <c r="A101" s="4">
        <v>44349</v>
      </c>
      <c r="B101">
        <v>1.6760000228881836E+16</v>
      </c>
      <c r="C101">
        <v>1.6100000381469728E+16</v>
      </c>
      <c r="D101">
        <v>1.6690000534057616E+16</v>
      </c>
      <c r="E101">
        <v>1.6290000915527344E+16</v>
      </c>
      <c r="F101">
        <v>28356000</v>
      </c>
      <c r="G101">
        <v>1.6290000915527344E+16</v>
      </c>
      <c r="H101" s="1" t="s">
        <v>181</v>
      </c>
      <c r="I101" s="1" t="s">
        <v>342</v>
      </c>
      <c r="J101">
        <v>10</v>
      </c>
    </row>
    <row r="102" spans="1:10" x14ac:dyDescent="0.25">
      <c r="A102" s="4">
        <v>44349</v>
      </c>
      <c r="B102">
        <v>9739999771118164</v>
      </c>
      <c r="C102">
        <v>9449999809265136</v>
      </c>
      <c r="D102">
        <v>9449999809265136</v>
      </c>
      <c r="E102">
        <v>9649999618530272</v>
      </c>
      <c r="F102">
        <v>12993000</v>
      </c>
      <c r="G102">
        <v>9649999618530272</v>
      </c>
      <c r="H102" s="1" t="s">
        <v>182</v>
      </c>
      <c r="I102" s="1" t="s">
        <v>256</v>
      </c>
      <c r="J102">
        <v>20</v>
      </c>
    </row>
    <row r="103" spans="1:10" x14ac:dyDescent="0.25">
      <c r="A103" s="4">
        <v>44349</v>
      </c>
      <c r="B103">
        <v>5311000061035156</v>
      </c>
      <c r="C103">
        <v>5120000076293945</v>
      </c>
      <c r="D103">
        <v>5163999938964844</v>
      </c>
      <c r="E103">
        <v>5165999984741211</v>
      </c>
      <c r="F103">
        <v>16858000</v>
      </c>
      <c r="G103">
        <v>5165999984741211</v>
      </c>
      <c r="H103" s="1" t="s">
        <v>183</v>
      </c>
      <c r="I103" s="1" t="s">
        <v>295</v>
      </c>
      <c r="J103">
        <v>40</v>
      </c>
    </row>
    <row r="104" spans="1:10" x14ac:dyDescent="0.25">
      <c r="A104" s="4">
        <v>44349</v>
      </c>
      <c r="B104">
        <v>8470000267028809</v>
      </c>
      <c r="C104">
        <v>796999979019165</v>
      </c>
      <c r="D104">
        <v>8010000228881836</v>
      </c>
      <c r="E104">
        <v>8470000267028809</v>
      </c>
      <c r="F104">
        <v>21552000</v>
      </c>
      <c r="G104">
        <v>8470000267028809</v>
      </c>
      <c r="H104" s="1" t="s">
        <v>184</v>
      </c>
      <c r="I104" s="1" t="s">
        <v>335</v>
      </c>
      <c r="J104">
        <v>20</v>
      </c>
    </row>
    <row r="105" spans="1:10" x14ac:dyDescent="0.25">
      <c r="A105" s="4">
        <v>44349</v>
      </c>
      <c r="B105">
        <v>1.0649999618530272E+16</v>
      </c>
      <c r="C105">
        <v>1.0329999923706056E+16</v>
      </c>
      <c r="D105">
        <v>1.0399999618530272E+16</v>
      </c>
      <c r="E105">
        <v>1.056999969482422E+16</v>
      </c>
      <c r="F105">
        <v>15293000</v>
      </c>
      <c r="G105">
        <v>1.056999969482422E+16</v>
      </c>
      <c r="H105" s="1" t="s">
        <v>185</v>
      </c>
      <c r="I105" s="1" t="s">
        <v>288</v>
      </c>
      <c r="J105">
        <v>10</v>
      </c>
    </row>
    <row r="106" spans="1:10" x14ac:dyDescent="0.25">
      <c r="A106" s="4">
        <v>44349</v>
      </c>
      <c r="B106">
        <v>1.4260000228881836E+16</v>
      </c>
      <c r="C106">
        <v>1.3979999542236328E+16</v>
      </c>
      <c r="D106">
        <v>1.4130000114440918E+16</v>
      </c>
      <c r="E106">
        <v>141899995803833</v>
      </c>
      <c r="F106">
        <v>15271000</v>
      </c>
      <c r="G106">
        <v>141899995803833</v>
      </c>
      <c r="H106" s="1" t="s">
        <v>186</v>
      </c>
      <c r="I106" s="1" t="s">
        <v>302</v>
      </c>
      <c r="J106">
        <v>10</v>
      </c>
    </row>
    <row r="107" spans="1:10" x14ac:dyDescent="0.25">
      <c r="A107" s="4">
        <v>44349</v>
      </c>
      <c r="B107">
        <v>2.1020000457763672E+16</v>
      </c>
      <c r="C107">
        <v>1.9690000534057616E+16</v>
      </c>
      <c r="D107">
        <v>2.0219999313354492E+16</v>
      </c>
      <c r="E107">
        <v>2093000030517578</v>
      </c>
      <c r="F107">
        <v>18216000</v>
      </c>
      <c r="G107">
        <v>2093000030517578</v>
      </c>
      <c r="H107" s="1" t="s">
        <v>187</v>
      </c>
      <c r="I107" s="1" t="s">
        <v>287</v>
      </c>
      <c r="J107">
        <v>0</v>
      </c>
    </row>
    <row r="108" spans="1:10" x14ac:dyDescent="0.25">
      <c r="A108" s="4">
        <v>44349</v>
      </c>
      <c r="B108">
        <v>1575</v>
      </c>
      <c r="C108">
        <v>1.3510000228881836E+16</v>
      </c>
      <c r="D108">
        <v>1.3859999656677246E+16</v>
      </c>
      <c r="E108">
        <v>1.5489999771118164E+16</v>
      </c>
      <c r="F108">
        <v>179714000</v>
      </c>
      <c r="G108">
        <v>1.5489999771118164E+16</v>
      </c>
      <c r="H108" s="1" t="s">
        <v>188</v>
      </c>
      <c r="I108" s="1" t="s">
        <v>287</v>
      </c>
      <c r="J108">
        <v>0</v>
      </c>
    </row>
    <row r="109" spans="1:10" x14ac:dyDescent="0.25">
      <c r="A109" s="4">
        <v>44349</v>
      </c>
      <c r="B109">
        <v>1.6899999618530272E+16</v>
      </c>
      <c r="C109">
        <v>1.6639999389648438E+16</v>
      </c>
      <c r="D109">
        <v>1.6760000228881836E+16</v>
      </c>
      <c r="E109">
        <v>1.6899999618530272E+16</v>
      </c>
      <c r="F109">
        <v>6774000</v>
      </c>
      <c r="G109">
        <v>1.6899999618530272E+16</v>
      </c>
      <c r="H109" s="1" t="s">
        <v>189</v>
      </c>
      <c r="I109" s="1" t="s">
        <v>287</v>
      </c>
      <c r="J109">
        <v>0</v>
      </c>
    </row>
    <row r="110" spans="1:10" x14ac:dyDescent="0.25">
      <c r="A110" s="4">
        <v>44349</v>
      </c>
      <c r="B110">
        <v>2.3850000381469728E+16</v>
      </c>
      <c r="C110">
        <v>2325</v>
      </c>
      <c r="D110">
        <v>2356999969482422</v>
      </c>
      <c r="E110">
        <v>233700008392334</v>
      </c>
      <c r="F110">
        <v>6675000</v>
      </c>
      <c r="G110">
        <v>233700008392334</v>
      </c>
      <c r="H110" s="1" t="s">
        <v>190</v>
      </c>
      <c r="I110" s="1" t="s">
        <v>287</v>
      </c>
      <c r="J110">
        <v>0</v>
      </c>
    </row>
    <row r="111" spans="1:10" x14ac:dyDescent="0.25">
      <c r="A111" s="4">
        <v>44349</v>
      </c>
      <c r="B111">
        <v>65</v>
      </c>
      <c r="C111">
        <v>6380000114440918</v>
      </c>
      <c r="D111">
        <v>6380000114440918</v>
      </c>
      <c r="E111">
        <v>65</v>
      </c>
      <c r="F111">
        <v>76416000</v>
      </c>
      <c r="G111">
        <v>65</v>
      </c>
      <c r="H111" s="1" t="s">
        <v>207</v>
      </c>
      <c r="I111" s="1" t="s">
        <v>256</v>
      </c>
      <c r="J111">
        <v>40</v>
      </c>
    </row>
    <row r="112" spans="1:10" x14ac:dyDescent="0.25">
      <c r="A112" s="4">
        <v>44349</v>
      </c>
      <c r="B112">
        <v>4833000183105469</v>
      </c>
      <c r="C112">
        <v>4729999923706055</v>
      </c>
      <c r="D112">
        <v>4754999923706055</v>
      </c>
      <c r="E112">
        <v>4.7400001525878904E+16</v>
      </c>
      <c r="F112">
        <v>14561000</v>
      </c>
      <c r="G112">
        <v>4.7400001525878904E+16</v>
      </c>
      <c r="H112" s="1" t="s">
        <v>208</v>
      </c>
      <c r="I112" s="1" t="s">
        <v>338</v>
      </c>
      <c r="J112">
        <v>10</v>
      </c>
    </row>
    <row r="113" spans="1:10" x14ac:dyDescent="0.25">
      <c r="A113" s="4">
        <v>44349</v>
      </c>
      <c r="B113">
        <v>539900016784668</v>
      </c>
      <c r="C113">
        <v>530099983215332</v>
      </c>
      <c r="D113">
        <v>5370000076293945</v>
      </c>
      <c r="E113">
        <v>5.3439998626708984E+16</v>
      </c>
      <c r="F113">
        <v>45185000</v>
      </c>
      <c r="G113">
        <v>5.3439998626708984E+16</v>
      </c>
      <c r="H113" s="1" t="s">
        <v>209</v>
      </c>
      <c r="I113" s="1" t="s">
        <v>303</v>
      </c>
      <c r="J113">
        <v>20</v>
      </c>
    </row>
    <row r="114" spans="1:10" x14ac:dyDescent="0.25">
      <c r="A114" s="4">
        <v>44349</v>
      </c>
      <c r="B114">
        <v>2.8049999237060548E+16</v>
      </c>
      <c r="C114">
        <v>2.7520000457763672E+16</v>
      </c>
      <c r="D114">
        <v>2.7709999084472656E+16</v>
      </c>
      <c r="E114">
        <v>2793000030517578</v>
      </c>
      <c r="F114">
        <v>11276000</v>
      </c>
      <c r="G114">
        <v>2793000030517578</v>
      </c>
      <c r="H114" s="1" t="s">
        <v>210</v>
      </c>
      <c r="I114" s="1" t="s">
        <v>287</v>
      </c>
      <c r="J114">
        <v>0</v>
      </c>
    </row>
    <row r="115" spans="1:10" x14ac:dyDescent="0.25">
      <c r="A115" s="4">
        <v>44349</v>
      </c>
      <c r="B115">
        <v>4608000183105469</v>
      </c>
      <c r="C115">
        <v>450099983215332</v>
      </c>
      <c r="D115">
        <v>4536000061035156</v>
      </c>
      <c r="E115">
        <v>4529999923706055</v>
      </c>
      <c r="F115">
        <v>21944000</v>
      </c>
      <c r="G115">
        <v>4529999923706055</v>
      </c>
      <c r="H115" s="1" t="s">
        <v>211</v>
      </c>
      <c r="I115" s="1" t="s">
        <v>295</v>
      </c>
      <c r="J115">
        <v>40</v>
      </c>
    </row>
    <row r="116" spans="1:10" x14ac:dyDescent="0.25">
      <c r="A116" s="4">
        <v>44349</v>
      </c>
      <c r="B116">
        <v>1275</v>
      </c>
      <c r="C116">
        <v>1.2489999771118164E+16</v>
      </c>
      <c r="D116">
        <v>1.2710000038146972E+16</v>
      </c>
      <c r="E116">
        <v>1.2670000076293944E+16</v>
      </c>
      <c r="F116">
        <v>25687000</v>
      </c>
      <c r="G116">
        <v>1.2670000076293944E+16</v>
      </c>
      <c r="H116" s="1" t="s">
        <v>212</v>
      </c>
      <c r="I116" s="1" t="s">
        <v>287</v>
      </c>
      <c r="J116">
        <v>0</v>
      </c>
    </row>
    <row r="117" spans="1:10" x14ac:dyDescent="0.25">
      <c r="A117" s="4">
        <v>44349</v>
      </c>
      <c r="B117">
        <v>1.1359999656677246E+16</v>
      </c>
      <c r="C117">
        <v>1.0920000076293944E+16</v>
      </c>
      <c r="D117">
        <v>1.1170000076293944E+16</v>
      </c>
      <c r="E117">
        <v>1.1350000381469728E+16</v>
      </c>
      <c r="F117">
        <v>28235000</v>
      </c>
      <c r="G117">
        <v>1.1350000381469728E+16</v>
      </c>
      <c r="H117" s="1" t="s">
        <v>213</v>
      </c>
      <c r="I117" s="1" t="s">
        <v>346</v>
      </c>
      <c r="J117">
        <v>20</v>
      </c>
    </row>
    <row r="118" spans="1:10" x14ac:dyDescent="0.25">
      <c r="A118" s="4">
        <v>44349</v>
      </c>
      <c r="B118">
        <v>5050000190734863</v>
      </c>
      <c r="C118">
        <v>4920000076293945</v>
      </c>
      <c r="D118">
        <v>496999979019165</v>
      </c>
      <c r="E118">
        <v>50</v>
      </c>
      <c r="F118">
        <v>22451000</v>
      </c>
      <c r="G118">
        <v>50</v>
      </c>
      <c r="H118" s="1" t="s">
        <v>214</v>
      </c>
      <c r="I118" s="1" t="s">
        <v>302</v>
      </c>
      <c r="J118">
        <v>10</v>
      </c>
    </row>
    <row r="119" spans="1:10" x14ac:dyDescent="0.25">
      <c r="A119" s="4">
        <v>44349</v>
      </c>
      <c r="B119">
        <v>1.0300000190734864E+16</v>
      </c>
      <c r="C119">
        <v>1.0079999923706056E+16</v>
      </c>
      <c r="D119">
        <v>101899995803833</v>
      </c>
      <c r="E119">
        <v>1.018000030517578E+16</v>
      </c>
      <c r="F119">
        <v>11605000</v>
      </c>
      <c r="G119">
        <v>1.018000030517578E+16</v>
      </c>
      <c r="H119" s="1" t="s">
        <v>215</v>
      </c>
      <c r="I119" s="1" t="s">
        <v>284</v>
      </c>
      <c r="J119">
        <v>50</v>
      </c>
    </row>
    <row r="120" spans="1:10" x14ac:dyDescent="0.25">
      <c r="A120" s="4">
        <v>44349</v>
      </c>
      <c r="B120">
        <v>1.3399999618530272E+16</v>
      </c>
      <c r="C120">
        <v>1.2600000381469728E+16</v>
      </c>
      <c r="D120">
        <v>1265999984741211</v>
      </c>
      <c r="E120">
        <v>1290999984741211</v>
      </c>
      <c r="F120">
        <v>5467000</v>
      </c>
      <c r="G120">
        <v>1290999984741211</v>
      </c>
      <c r="H120" s="1" t="s">
        <v>216</v>
      </c>
      <c r="I120" s="1" t="s">
        <v>285</v>
      </c>
      <c r="J120">
        <v>10</v>
      </c>
    </row>
    <row r="121" spans="1:10" x14ac:dyDescent="0.25">
      <c r="A121" s="4">
        <v>44349</v>
      </c>
      <c r="B121">
        <v>1.4399999618530272E+16</v>
      </c>
      <c r="C121">
        <v>1.393000030517578E+16</v>
      </c>
      <c r="D121">
        <v>1.4100000381469728E+16</v>
      </c>
      <c r="E121">
        <v>1.4289999961853028E+16</v>
      </c>
      <c r="F121">
        <v>21583000</v>
      </c>
      <c r="G121">
        <v>1.4289999961853028E+16</v>
      </c>
      <c r="H121" s="1" t="s">
        <v>217</v>
      </c>
      <c r="I121" s="1" t="s">
        <v>287</v>
      </c>
      <c r="J121">
        <v>0</v>
      </c>
    </row>
    <row r="122" spans="1:10" x14ac:dyDescent="0.25">
      <c r="A122" s="4">
        <v>44349</v>
      </c>
      <c r="B122">
        <v>1781999969482422</v>
      </c>
      <c r="C122">
        <v>1.7350000381469728E+16</v>
      </c>
      <c r="D122">
        <v>175</v>
      </c>
      <c r="E122">
        <v>1781999969482422</v>
      </c>
      <c r="F122">
        <v>15594000</v>
      </c>
      <c r="G122">
        <v>1781999969482422</v>
      </c>
      <c r="H122" s="1" t="s">
        <v>218</v>
      </c>
      <c r="I122" s="1" t="s">
        <v>335</v>
      </c>
      <c r="J122">
        <v>10</v>
      </c>
    </row>
    <row r="123" spans="1:10" x14ac:dyDescent="0.25">
      <c r="A123" s="4">
        <v>44349</v>
      </c>
      <c r="B123">
        <v>8999999761581421</v>
      </c>
      <c r="C123">
        <v>8700000047683716</v>
      </c>
      <c r="D123">
        <v>8799999952316284</v>
      </c>
      <c r="E123">
        <v>8799999952316284</v>
      </c>
      <c r="F123">
        <v>68322000</v>
      </c>
      <c r="G123">
        <v>8799999952316284</v>
      </c>
      <c r="H123" s="1" t="s">
        <v>219</v>
      </c>
      <c r="I123" s="1" t="s">
        <v>284</v>
      </c>
      <c r="J123">
        <v>50</v>
      </c>
    </row>
    <row r="124" spans="1:10" x14ac:dyDescent="0.25">
      <c r="A124" s="4">
        <v>44349</v>
      </c>
      <c r="B124">
        <v>2.2290000915527344E+16</v>
      </c>
      <c r="C124">
        <v>2.1450000762939452E+16</v>
      </c>
      <c r="D124">
        <v>2.1530000686645508E+16</v>
      </c>
      <c r="E124">
        <v>2.2149999618530272E+16</v>
      </c>
      <c r="F124">
        <v>33585000</v>
      </c>
      <c r="G124">
        <v>2.2149999618530272E+16</v>
      </c>
      <c r="H124" s="1" t="s">
        <v>220</v>
      </c>
      <c r="I124" s="1" t="s">
        <v>256</v>
      </c>
      <c r="J124">
        <v>20</v>
      </c>
    </row>
    <row r="125" spans="1:10" x14ac:dyDescent="0.25">
      <c r="A125" s="4">
        <v>44349</v>
      </c>
      <c r="B125">
        <v>1.5510000228881836E+16</v>
      </c>
      <c r="C125">
        <v>1.5229999542236328E+16</v>
      </c>
      <c r="D125">
        <v>1.5350000381469728E+16</v>
      </c>
      <c r="E125">
        <v>1.5390000343322754E+16</v>
      </c>
      <c r="F125">
        <v>12019000</v>
      </c>
      <c r="G125">
        <v>1.5390000343322754E+16</v>
      </c>
      <c r="H125" s="1" t="s">
        <v>221</v>
      </c>
      <c r="I125" s="1" t="s">
        <v>284</v>
      </c>
      <c r="J125">
        <v>80</v>
      </c>
    </row>
    <row r="126" spans="1:10" x14ac:dyDescent="0.25">
      <c r="A126" s="4">
        <v>44349</v>
      </c>
      <c r="B126">
        <v>1.0279999732971192E+16</v>
      </c>
      <c r="C126">
        <v>1.0039999961853028E+16</v>
      </c>
      <c r="D126">
        <v>1.0220000267028808E+16</v>
      </c>
      <c r="E126">
        <v>1.018000030517578E+16</v>
      </c>
      <c r="F126">
        <v>13697000</v>
      </c>
      <c r="G126">
        <v>1.018000030517578E+16</v>
      </c>
      <c r="H126" s="1" t="s">
        <v>222</v>
      </c>
      <c r="I126" s="1" t="s">
        <v>303</v>
      </c>
      <c r="J126">
        <v>10</v>
      </c>
    </row>
    <row r="127" spans="1:10" x14ac:dyDescent="0.25">
      <c r="A127" s="4">
        <v>44349</v>
      </c>
      <c r="B127">
        <v>9729999542236328</v>
      </c>
      <c r="C127">
        <v>9100000381469728</v>
      </c>
      <c r="D127">
        <v>915999984741211</v>
      </c>
      <c r="E127">
        <v>9699999809265136</v>
      </c>
      <c r="F127">
        <v>30402000</v>
      </c>
      <c r="G127">
        <v>9699999809265136</v>
      </c>
      <c r="H127" s="1" t="s">
        <v>223</v>
      </c>
      <c r="I127" s="1" t="s">
        <v>335</v>
      </c>
      <c r="J127">
        <v>20</v>
      </c>
    </row>
    <row r="128" spans="1:10" x14ac:dyDescent="0.25">
      <c r="A128" s="4">
        <v>44349</v>
      </c>
      <c r="B128">
        <v>3.1649999618530272E+16</v>
      </c>
      <c r="C128">
        <v>2.9719999313354492E+16</v>
      </c>
      <c r="D128">
        <v>3.0010000228881836E+16</v>
      </c>
      <c r="E128">
        <v>311200008392334</v>
      </c>
      <c r="F128">
        <v>11898000</v>
      </c>
      <c r="G128">
        <v>311200008392334</v>
      </c>
      <c r="H128" s="1" t="s">
        <v>224</v>
      </c>
      <c r="I128" s="1" t="s">
        <v>350</v>
      </c>
      <c r="J128">
        <v>20</v>
      </c>
    </row>
    <row r="129" spans="1:10" x14ac:dyDescent="0.25">
      <c r="A129" s="4">
        <v>44349</v>
      </c>
      <c r="B129">
        <v>2.988999938964844E+16</v>
      </c>
      <c r="C129">
        <v>2.9100000381469728E+16</v>
      </c>
      <c r="D129">
        <v>2.9299999237060548E+16</v>
      </c>
      <c r="E129">
        <v>2.9329999923706056E+16</v>
      </c>
      <c r="F129">
        <v>4438000</v>
      </c>
      <c r="G129">
        <v>2.9329999923706056E+16</v>
      </c>
      <c r="H129" s="1" t="s">
        <v>225</v>
      </c>
      <c r="I129" s="1" t="s">
        <v>284</v>
      </c>
      <c r="J129">
        <v>50</v>
      </c>
    </row>
    <row r="130" spans="1:10" x14ac:dyDescent="0.25">
      <c r="A130" s="4">
        <v>44349</v>
      </c>
      <c r="B130">
        <v>2.2700000762939452E+16</v>
      </c>
      <c r="C130">
        <v>2.136000061035156E+16</v>
      </c>
      <c r="D130">
        <v>2.211000061035156E+16</v>
      </c>
      <c r="E130">
        <v>2193000030517578</v>
      </c>
      <c r="F130">
        <v>27506000</v>
      </c>
      <c r="G130">
        <v>2193000030517578</v>
      </c>
      <c r="H130" s="1" t="s">
        <v>226</v>
      </c>
      <c r="I130" s="1" t="s">
        <v>345</v>
      </c>
      <c r="J130">
        <v>20</v>
      </c>
    </row>
    <row r="131" spans="1:10" x14ac:dyDescent="0.25">
      <c r="A131" s="4">
        <v>44349</v>
      </c>
      <c r="B131">
        <v>3234000015258789</v>
      </c>
      <c r="C131">
        <v>313700008392334</v>
      </c>
      <c r="D131">
        <v>3.1719999313354492E+16</v>
      </c>
      <c r="E131">
        <v>3.1579999923706056E+16</v>
      </c>
      <c r="F131">
        <v>3299000</v>
      </c>
      <c r="G131">
        <v>3.1579999923706056E+16</v>
      </c>
      <c r="H131" s="1" t="s">
        <v>227</v>
      </c>
      <c r="I131" s="1" t="s">
        <v>303</v>
      </c>
      <c r="J131">
        <v>10</v>
      </c>
    </row>
    <row r="132" spans="1:10" x14ac:dyDescent="0.25">
      <c r="A132" s="4">
        <v>44349</v>
      </c>
      <c r="B132">
        <v>206200008392334</v>
      </c>
      <c r="C132">
        <v>1.9729999542236328E+16</v>
      </c>
      <c r="D132">
        <v>198700008392334</v>
      </c>
      <c r="E132">
        <v>2.0200000762939452E+16</v>
      </c>
      <c r="F132">
        <v>7399000</v>
      </c>
      <c r="G132">
        <v>2.0200000762939452E+16</v>
      </c>
      <c r="H132" s="1" t="s">
        <v>228</v>
      </c>
      <c r="I132" s="1" t="s">
        <v>287</v>
      </c>
      <c r="J132">
        <v>0</v>
      </c>
    </row>
    <row r="133" spans="1:10" x14ac:dyDescent="0.25">
      <c r="A133" s="4">
        <v>44349</v>
      </c>
      <c r="B133">
        <v>4550000190734863</v>
      </c>
      <c r="C133">
        <v>4159999847412109</v>
      </c>
      <c r="D133">
        <v>4159999847412109</v>
      </c>
      <c r="E133">
        <v>45</v>
      </c>
      <c r="F133">
        <v>22845000</v>
      </c>
      <c r="G133">
        <v>45</v>
      </c>
      <c r="H133" s="1" t="s">
        <v>229</v>
      </c>
      <c r="I133" s="1" t="s">
        <v>341</v>
      </c>
      <c r="J133">
        <v>30</v>
      </c>
    </row>
    <row r="134" spans="1:10" x14ac:dyDescent="0.25">
      <c r="A134" s="4">
        <v>44349</v>
      </c>
      <c r="B134">
        <v>2.513999938964844E+16</v>
      </c>
      <c r="C134">
        <v>2.3899999618530272E+16</v>
      </c>
      <c r="D134">
        <v>2.4899999618530272E+16</v>
      </c>
      <c r="E134">
        <v>2393000030517578</v>
      </c>
      <c r="F134">
        <v>93624000</v>
      </c>
      <c r="G134">
        <v>2393000030517578</v>
      </c>
      <c r="H134" s="1" t="s">
        <v>230</v>
      </c>
      <c r="I134" s="1" t="s">
        <v>343</v>
      </c>
      <c r="J134">
        <v>20</v>
      </c>
    </row>
    <row r="135" spans="1:10" x14ac:dyDescent="0.25">
      <c r="A135" s="4">
        <v>44349</v>
      </c>
      <c r="B135">
        <v>8289999961853027</v>
      </c>
      <c r="C135">
        <v>7900000095367432</v>
      </c>
      <c r="D135">
        <v>8170000076293945</v>
      </c>
      <c r="E135">
        <v>8050000190734863</v>
      </c>
      <c r="F135">
        <v>20996000</v>
      </c>
      <c r="G135">
        <v>8050000190734863</v>
      </c>
      <c r="H135" s="1" t="s">
        <v>231</v>
      </c>
      <c r="I135" s="1" t="s">
        <v>285</v>
      </c>
      <c r="J135">
        <v>10</v>
      </c>
    </row>
    <row r="136" spans="1:10" x14ac:dyDescent="0.25">
      <c r="A136" s="4">
        <v>44349</v>
      </c>
      <c r="B136">
        <v>1.2779999732971192E+16</v>
      </c>
      <c r="C136">
        <v>1.218000030517578E+16</v>
      </c>
      <c r="D136">
        <v>1.2479999542236328E+16</v>
      </c>
      <c r="E136">
        <v>1.2359999656677246E+16</v>
      </c>
      <c r="F136">
        <v>15837000</v>
      </c>
      <c r="G136">
        <v>1.2359999656677246E+16</v>
      </c>
      <c r="H136" s="1" t="s">
        <v>232</v>
      </c>
      <c r="I136" s="1" t="s">
        <v>303</v>
      </c>
      <c r="J136">
        <v>10</v>
      </c>
    </row>
    <row r="137" spans="1:10" x14ac:dyDescent="0.25">
      <c r="A137" s="4">
        <v>44349</v>
      </c>
      <c r="B137">
        <v>1.3279999732971192E+16</v>
      </c>
      <c r="C137">
        <v>1275</v>
      </c>
      <c r="D137">
        <v>1325</v>
      </c>
      <c r="E137">
        <v>1.2829999923706056E+16</v>
      </c>
      <c r="F137">
        <v>15499000</v>
      </c>
      <c r="G137">
        <v>1.2829999923706056E+16</v>
      </c>
      <c r="H137" s="1" t="s">
        <v>233</v>
      </c>
      <c r="I137" s="1" t="s">
        <v>287</v>
      </c>
      <c r="J137">
        <v>0</v>
      </c>
    </row>
    <row r="138" spans="1:10" x14ac:dyDescent="0.25">
      <c r="A138" s="4">
        <v>44349</v>
      </c>
      <c r="B138">
        <v>3993000030517578</v>
      </c>
      <c r="C138">
        <v>3920000076293945</v>
      </c>
      <c r="D138">
        <v>3993000030517578</v>
      </c>
      <c r="E138">
        <v>3.9599998474121096E+16</v>
      </c>
      <c r="F138">
        <v>6950000</v>
      </c>
      <c r="G138">
        <v>3.9599998474121096E+16</v>
      </c>
      <c r="H138" s="1" t="s">
        <v>234</v>
      </c>
      <c r="I138" s="1" t="s">
        <v>283</v>
      </c>
      <c r="J138">
        <v>20</v>
      </c>
    </row>
    <row r="139" spans="1:10" x14ac:dyDescent="0.25">
      <c r="A139" s="4">
        <v>44349</v>
      </c>
      <c r="B139">
        <v>2.188999938964844E+16</v>
      </c>
      <c r="C139">
        <v>2.1309999465942384E+16</v>
      </c>
      <c r="D139">
        <v>2.188999938964844E+16</v>
      </c>
      <c r="E139">
        <v>2.1530000686645508E+16</v>
      </c>
      <c r="F139">
        <v>4208000</v>
      </c>
      <c r="G139">
        <v>2.1530000686645508E+16</v>
      </c>
      <c r="H139" s="1" t="s">
        <v>235</v>
      </c>
      <c r="I139" s="1" t="s">
        <v>283</v>
      </c>
      <c r="J139">
        <v>10</v>
      </c>
    </row>
    <row r="140" spans="1:10" x14ac:dyDescent="0.25">
      <c r="A140" s="4">
        <v>44349</v>
      </c>
      <c r="B140">
        <v>1.4779999732971192E+16</v>
      </c>
      <c r="C140">
        <v>1.4029999732971192E+16</v>
      </c>
      <c r="D140">
        <v>1.4529999732971192E+16</v>
      </c>
      <c r="E140">
        <v>1.418000030517578E+16</v>
      </c>
      <c r="F140">
        <v>31470000</v>
      </c>
      <c r="G140">
        <v>1.418000030517578E+16</v>
      </c>
      <c r="H140" s="1" t="s">
        <v>236</v>
      </c>
      <c r="I140" s="1" t="s">
        <v>287</v>
      </c>
      <c r="J140">
        <v>0</v>
      </c>
    </row>
    <row r="141" spans="1:10" x14ac:dyDescent="0.25">
      <c r="A141" s="4">
        <v>44349</v>
      </c>
      <c r="B141">
        <v>1.830000042915344E+16</v>
      </c>
      <c r="C141">
        <v>1.7300000190734864E+16</v>
      </c>
      <c r="D141">
        <v>1.7400000095367432E+16</v>
      </c>
      <c r="E141">
        <v>1.7899999618530272E+16</v>
      </c>
      <c r="F141">
        <v>57467000</v>
      </c>
      <c r="G141">
        <v>1.7899999618530272E+16</v>
      </c>
      <c r="H141" s="1" t="s">
        <v>237</v>
      </c>
      <c r="I141" s="1" t="s">
        <v>282</v>
      </c>
      <c r="J141">
        <v>10</v>
      </c>
    </row>
    <row r="142" spans="1:10" x14ac:dyDescent="0.25">
      <c r="A142" s="4">
        <v>44349</v>
      </c>
      <c r="B142">
        <v>2.9350000381469728E+16</v>
      </c>
      <c r="C142">
        <v>2809000015258789</v>
      </c>
      <c r="D142">
        <v>2934000015258789</v>
      </c>
      <c r="E142">
        <v>2.8290000915527344E+16</v>
      </c>
      <c r="F142">
        <v>10732000</v>
      </c>
      <c r="G142">
        <v>2.8290000915527344E+16</v>
      </c>
      <c r="H142" s="1" t="s">
        <v>238</v>
      </c>
      <c r="I142" s="1" t="s">
        <v>283</v>
      </c>
      <c r="J142">
        <v>20</v>
      </c>
    </row>
    <row r="143" spans="1:10" x14ac:dyDescent="0.25">
      <c r="A143" s="4">
        <v>44349</v>
      </c>
      <c r="B143">
        <v>1076500015258789</v>
      </c>
      <c r="C143">
        <v>950</v>
      </c>
      <c r="D143">
        <v>980</v>
      </c>
      <c r="E143">
        <v>1.0676000213623048E+16</v>
      </c>
      <c r="F143">
        <v>9507000</v>
      </c>
      <c r="G143">
        <v>1.0676000213623048E+16</v>
      </c>
      <c r="H143" s="1" t="s">
        <v>239</v>
      </c>
      <c r="I143" s="1" t="s">
        <v>287</v>
      </c>
      <c r="J143">
        <v>0</v>
      </c>
    </row>
    <row r="144" spans="1:10" x14ac:dyDescent="0.25">
      <c r="A144" s="4">
        <v>44349</v>
      </c>
      <c r="B144">
        <v>139399995803833</v>
      </c>
      <c r="C144">
        <v>1.3140000343322754E+16</v>
      </c>
      <c r="D144">
        <v>1.3449999809265136E+16</v>
      </c>
      <c r="E144">
        <v>1.3779999732971192E+16</v>
      </c>
      <c r="F144">
        <v>42420000</v>
      </c>
      <c r="G144">
        <v>1.3779999732971192E+16</v>
      </c>
      <c r="H144" s="1" t="s">
        <v>240</v>
      </c>
      <c r="I144" s="1" t="s">
        <v>282</v>
      </c>
      <c r="J144">
        <v>10</v>
      </c>
    </row>
    <row r="145" spans="1:10" x14ac:dyDescent="0.25">
      <c r="A145" s="4">
        <v>44349</v>
      </c>
      <c r="B145">
        <v>5377000045776367</v>
      </c>
      <c r="C145">
        <v>525</v>
      </c>
      <c r="D145">
        <v>5377000045776367</v>
      </c>
      <c r="E145">
        <v>530</v>
      </c>
      <c r="F145">
        <v>4098000</v>
      </c>
      <c r="G145">
        <v>530</v>
      </c>
      <c r="H145" s="1" t="s">
        <v>241</v>
      </c>
      <c r="I145" s="1" t="s">
        <v>283</v>
      </c>
      <c r="J145">
        <v>10</v>
      </c>
    </row>
    <row r="146" spans="1:10" x14ac:dyDescent="0.25">
      <c r="A146" s="4">
        <v>44349</v>
      </c>
      <c r="B146">
        <v>165</v>
      </c>
      <c r="C146">
        <v>1.5579999923706056E+16</v>
      </c>
      <c r="D146">
        <v>1.5829999923706056E+16</v>
      </c>
      <c r="E146">
        <v>1.6309999465942384E+16</v>
      </c>
      <c r="F146">
        <v>13429000</v>
      </c>
      <c r="G146">
        <v>1.6309999465942384E+16</v>
      </c>
      <c r="H146" s="1" t="s">
        <v>242</v>
      </c>
      <c r="I146" s="1" t="s">
        <v>346</v>
      </c>
      <c r="J146">
        <v>10</v>
      </c>
    </row>
    <row r="147" spans="1:10" x14ac:dyDescent="0.25">
      <c r="A147" s="4">
        <v>44349</v>
      </c>
      <c r="B147">
        <v>2.4600000381469728E+16</v>
      </c>
      <c r="C147">
        <v>236200008392334</v>
      </c>
      <c r="D147">
        <v>245</v>
      </c>
      <c r="E147">
        <v>2.4059999465942384E+16</v>
      </c>
      <c r="F147">
        <v>22158000</v>
      </c>
      <c r="G147">
        <v>2.4059999465942384E+16</v>
      </c>
      <c r="H147" s="1" t="s">
        <v>243</v>
      </c>
      <c r="I147" s="1" t="s">
        <v>287</v>
      </c>
      <c r="J147">
        <v>0</v>
      </c>
    </row>
    <row r="148" spans="1:10" x14ac:dyDescent="0.25">
      <c r="A148" s="4">
        <v>44349</v>
      </c>
      <c r="B148">
        <v>2.4399999618530272E+16</v>
      </c>
      <c r="C148">
        <v>2.3809999465942384E+16</v>
      </c>
      <c r="D148">
        <v>2.4239999771118164E+16</v>
      </c>
      <c r="E148">
        <v>2.4020000457763672E+16</v>
      </c>
      <c r="F148">
        <v>2901000</v>
      </c>
      <c r="G148">
        <v>2.4020000457763672E+16</v>
      </c>
      <c r="H148" s="1" t="s">
        <v>244</v>
      </c>
      <c r="I148" s="1" t="s">
        <v>285</v>
      </c>
      <c r="J148">
        <v>10</v>
      </c>
    </row>
    <row r="149" spans="1:10" x14ac:dyDescent="0.25">
      <c r="A149" s="4">
        <v>44349</v>
      </c>
      <c r="B149">
        <v>9699999809265136</v>
      </c>
      <c r="C149">
        <v>9380000114440918</v>
      </c>
      <c r="D149">
        <v>95</v>
      </c>
      <c r="E149">
        <v>9430000305175780</v>
      </c>
      <c r="F149">
        <v>3616000</v>
      </c>
      <c r="G149">
        <v>9430000305175780</v>
      </c>
      <c r="H149" s="1" t="s">
        <v>245</v>
      </c>
      <c r="I149" s="1" t="s">
        <v>282</v>
      </c>
      <c r="J149">
        <v>10</v>
      </c>
    </row>
    <row r="150" spans="1:10" x14ac:dyDescent="0.25">
      <c r="A150" s="4">
        <v>44349</v>
      </c>
      <c r="B150">
        <v>1.3300000190734864E+16</v>
      </c>
      <c r="C150">
        <v>1.243000030517578E+16</v>
      </c>
      <c r="D150">
        <v>1275</v>
      </c>
      <c r="E150">
        <v>125</v>
      </c>
      <c r="F150">
        <v>24094000</v>
      </c>
      <c r="G150">
        <v>125</v>
      </c>
      <c r="H150" s="1" t="s">
        <v>246</v>
      </c>
      <c r="I150" s="1" t="s">
        <v>282</v>
      </c>
      <c r="J150">
        <v>10</v>
      </c>
    </row>
    <row r="151" spans="1:10" x14ac:dyDescent="0.25">
      <c r="A151" s="4">
        <v>44349</v>
      </c>
      <c r="B151">
        <v>8720000267028809</v>
      </c>
      <c r="C151">
        <v>8399999618530273</v>
      </c>
      <c r="D151">
        <v>85</v>
      </c>
      <c r="E151">
        <v>86899995803833</v>
      </c>
      <c r="F151">
        <v>2651000</v>
      </c>
      <c r="G151">
        <v>86899995803833</v>
      </c>
      <c r="H151" s="1" t="s">
        <v>247</v>
      </c>
      <c r="I151" s="1" t="s">
        <v>335</v>
      </c>
      <c r="J151">
        <v>10</v>
      </c>
    </row>
    <row r="152" spans="1:10" x14ac:dyDescent="0.25">
      <c r="A152" s="4">
        <v>44349</v>
      </c>
      <c r="B152">
        <v>5166999816894531</v>
      </c>
      <c r="C152">
        <v>495</v>
      </c>
      <c r="D152">
        <v>5.1650001525878904E+16</v>
      </c>
      <c r="E152">
        <v>5011000061035156</v>
      </c>
      <c r="F152">
        <v>684000</v>
      </c>
      <c r="G152">
        <v>5011000061035156</v>
      </c>
      <c r="H152" s="1" t="s">
        <v>248</v>
      </c>
      <c r="I152" s="1" t="s">
        <v>281</v>
      </c>
      <c r="J152">
        <v>10</v>
      </c>
    </row>
    <row r="153" spans="1:10" x14ac:dyDescent="0.25">
      <c r="A153" s="4">
        <v>44349</v>
      </c>
      <c r="B153">
        <v>1.2199999809265136E+16</v>
      </c>
      <c r="C153">
        <v>1.1770000457763672E+16</v>
      </c>
      <c r="D153">
        <v>1.1949999809265136E+16</v>
      </c>
      <c r="E153">
        <v>1.2149999618530272E+16</v>
      </c>
      <c r="F153">
        <v>1296000</v>
      </c>
      <c r="G153">
        <v>1.2149999618530272E+16</v>
      </c>
      <c r="H153" s="1" t="s">
        <v>249</v>
      </c>
      <c r="I153" s="1" t="s">
        <v>341</v>
      </c>
      <c r="J153">
        <v>20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660F5-0319-42CA-A065-FA5D11AD6157}">
  <sheetPr codeName="Planilha4" filterMode="1"/>
  <dimension ref="A1:AI224"/>
  <sheetViews>
    <sheetView showGridLines="0" tabSelected="1" zoomScale="115" zoomScaleNormal="115" workbookViewId="0">
      <pane ySplit="4" topLeftCell="A120" activePane="bottomLeft" state="frozen"/>
      <selection pane="bottomLeft" activeCell="C7" sqref="B7:C32"/>
    </sheetView>
  </sheetViews>
  <sheetFormatPr defaultColWidth="6.85546875" defaultRowHeight="14.25" customHeight="1" x14ac:dyDescent="0.25"/>
  <cols>
    <col min="1" max="1" width="27.42578125" customWidth="1"/>
    <col min="2" max="2" width="7.5703125" style="16" customWidth="1"/>
    <col min="3" max="3" width="12.7109375" style="17" bestFit="1" customWidth="1"/>
    <col min="4" max="4" width="7.5703125" style="25" customWidth="1"/>
    <col min="5" max="6" width="7.5703125" style="21" customWidth="1"/>
    <col min="7" max="9" width="7.5703125" style="24" customWidth="1"/>
    <col min="10" max="11" width="7.5703125" style="20" customWidth="1"/>
    <col min="12" max="12" width="7.5703125" style="25" customWidth="1"/>
    <col min="13" max="14" width="7.5703125" style="20" customWidth="1"/>
    <col min="15" max="15" width="7.5703125" style="24" customWidth="1"/>
    <col min="16" max="17" width="7.5703125" style="21" customWidth="1"/>
    <col min="18" max="18" width="7.5703125" style="18" customWidth="1"/>
    <col min="19" max="20" width="7.5703125" style="21" customWidth="1"/>
    <col min="21" max="21" width="7.5703125" style="25" customWidth="1"/>
    <col min="22" max="22" width="11" style="24" bestFit="1" customWidth="1"/>
    <col min="23" max="23" width="7.5703125" style="24" customWidth="1"/>
    <col min="24" max="25" width="7.5703125" style="20" customWidth="1"/>
    <col min="26" max="26" width="7.5703125" style="22" customWidth="1"/>
    <col min="27" max="27" width="7.5703125" style="20" customWidth="1"/>
    <col min="28" max="28" width="7.5703125" style="18" customWidth="1"/>
    <col min="29" max="31" width="7.5703125" style="20" customWidth="1"/>
    <col min="32" max="35" width="7.5703125" style="18" customWidth="1"/>
  </cols>
  <sheetData>
    <row r="1" spans="1:35" s="15" customFormat="1" ht="14.25" customHeight="1" x14ac:dyDescent="0.25">
      <c r="A1" s="51" t="s">
        <v>333</v>
      </c>
      <c r="B1" s="54">
        <v>44347</v>
      </c>
      <c r="C1" s="54"/>
      <c r="D1" s="54"/>
      <c r="E1" s="54"/>
      <c r="F1" s="32"/>
      <c r="G1" s="33"/>
      <c r="H1" s="33"/>
      <c r="I1" s="33"/>
      <c r="J1" s="34"/>
      <c r="K1" s="34"/>
      <c r="L1" s="31"/>
      <c r="M1" s="34"/>
      <c r="N1" s="34"/>
      <c r="O1" s="33"/>
      <c r="P1" s="32"/>
      <c r="Q1" s="32"/>
      <c r="R1" s="35"/>
      <c r="S1" s="32"/>
      <c r="T1" s="32"/>
      <c r="U1" s="31"/>
      <c r="V1" s="33"/>
      <c r="W1" s="33"/>
      <c r="X1" s="34"/>
      <c r="Y1" s="34"/>
      <c r="Z1" s="36"/>
      <c r="AA1" s="34"/>
      <c r="AB1" s="35"/>
      <c r="AC1" s="34"/>
      <c r="AD1" s="34"/>
      <c r="AE1" s="34"/>
      <c r="AF1" s="35"/>
      <c r="AG1" s="35"/>
      <c r="AH1" s="35"/>
      <c r="AI1" s="35"/>
    </row>
    <row r="2" spans="1:35" s="15" customFormat="1" ht="14.25" customHeight="1" x14ac:dyDescent="0.25">
      <c r="B2" s="29"/>
      <c r="C2" s="30"/>
      <c r="D2" s="31"/>
      <c r="E2" s="32"/>
      <c r="F2" s="32"/>
      <c r="G2" s="33"/>
      <c r="H2" s="33"/>
      <c r="I2" s="33"/>
      <c r="J2" s="34"/>
      <c r="K2" s="34"/>
      <c r="L2" s="31"/>
      <c r="M2" s="34"/>
      <c r="N2" s="34"/>
      <c r="O2" s="33"/>
      <c r="P2" s="32"/>
      <c r="Q2" s="32"/>
      <c r="R2" s="35"/>
      <c r="S2" s="32"/>
      <c r="T2" s="32"/>
      <c r="U2" s="31"/>
      <c r="V2" s="33"/>
      <c r="W2" s="33"/>
      <c r="X2" s="34"/>
      <c r="Y2" s="34"/>
      <c r="Z2" s="36"/>
      <c r="AA2" s="34"/>
      <c r="AB2" s="35"/>
      <c r="AC2" s="34"/>
      <c r="AD2" s="53" t="s">
        <v>314</v>
      </c>
      <c r="AE2" s="53"/>
      <c r="AF2" s="53"/>
      <c r="AG2" s="53"/>
      <c r="AH2" s="53"/>
      <c r="AI2" s="53"/>
    </row>
    <row r="3" spans="1:35" s="44" customFormat="1" ht="14.25" customHeight="1" x14ac:dyDescent="0.25">
      <c r="A3" s="37"/>
      <c r="B3" s="38"/>
      <c r="C3" s="39"/>
      <c r="D3" s="40"/>
      <c r="E3" s="41"/>
      <c r="F3" s="41"/>
      <c r="G3" s="42"/>
      <c r="H3" s="42"/>
      <c r="I3" s="42"/>
      <c r="J3" s="43"/>
      <c r="K3" s="43"/>
      <c r="L3" s="43"/>
      <c r="M3" s="43"/>
      <c r="N3" s="43"/>
      <c r="O3" s="43"/>
      <c r="P3" s="43"/>
      <c r="Q3" s="43"/>
      <c r="R3" s="43"/>
      <c r="S3" s="43"/>
      <c r="T3" s="46"/>
      <c r="U3" s="43"/>
      <c r="V3" s="43"/>
      <c r="W3" s="45"/>
      <c r="X3" s="43"/>
      <c r="Y3" s="43"/>
      <c r="Z3" s="43"/>
      <c r="AA3" s="43"/>
      <c r="AB3" s="38"/>
      <c r="AC3" s="38"/>
      <c r="AD3" s="38"/>
      <c r="AE3" s="43"/>
      <c r="AF3" s="38"/>
      <c r="AG3" s="43"/>
      <c r="AH3" s="38"/>
      <c r="AI3" s="38"/>
    </row>
    <row r="4" spans="1:35" ht="15" x14ac:dyDescent="0.25">
      <c r="A4" s="28" t="s">
        <v>308</v>
      </c>
      <c r="B4" s="11" t="s">
        <v>199</v>
      </c>
      <c r="C4" s="27" t="s">
        <v>200</v>
      </c>
      <c r="D4" s="11" t="s">
        <v>307</v>
      </c>
      <c r="E4" s="11" t="s">
        <v>253</v>
      </c>
      <c r="F4" s="12" t="s">
        <v>290</v>
      </c>
      <c r="G4" s="12" t="s">
        <v>289</v>
      </c>
      <c r="H4" s="13" t="s">
        <v>195</v>
      </c>
      <c r="I4" s="13" t="s">
        <v>196</v>
      </c>
      <c r="J4" s="14" t="s">
        <v>262</v>
      </c>
      <c r="K4" s="14" t="s">
        <v>265</v>
      </c>
      <c r="L4" s="14" t="s">
        <v>266</v>
      </c>
      <c r="M4" s="13" t="s">
        <v>191</v>
      </c>
      <c r="N4" s="13" t="s">
        <v>192</v>
      </c>
      <c r="O4" s="13" t="s">
        <v>250</v>
      </c>
      <c r="P4" s="13" t="s">
        <v>193</v>
      </c>
      <c r="Q4" s="12" t="s">
        <v>299</v>
      </c>
      <c r="R4" s="12" t="s">
        <v>300</v>
      </c>
      <c r="S4" s="13" t="s">
        <v>194</v>
      </c>
      <c r="T4" s="12" t="s">
        <v>197</v>
      </c>
      <c r="U4" s="13" t="s">
        <v>198</v>
      </c>
      <c r="V4" s="11" t="s">
        <v>201</v>
      </c>
      <c r="W4" s="14" t="s">
        <v>202</v>
      </c>
      <c r="X4" s="12" t="s">
        <v>251</v>
      </c>
      <c r="Y4" s="12" t="s">
        <v>252</v>
      </c>
      <c r="Z4" s="13" t="s">
        <v>264</v>
      </c>
      <c r="AA4" s="13" t="s">
        <v>263</v>
      </c>
      <c r="AB4" s="11" t="s">
        <v>269</v>
      </c>
      <c r="AC4" s="13" t="s">
        <v>270</v>
      </c>
      <c r="AD4" s="13" t="s">
        <v>267</v>
      </c>
      <c r="AE4" s="13" t="s">
        <v>268</v>
      </c>
      <c r="AF4" s="13" t="s">
        <v>292</v>
      </c>
      <c r="AG4" s="13" t="s">
        <v>293</v>
      </c>
      <c r="AH4" s="13" t="s">
        <v>294</v>
      </c>
      <c r="AI4" s="13" t="s">
        <v>291</v>
      </c>
    </row>
    <row r="5" spans="1:35" ht="15" hidden="1" x14ac:dyDescent="0.25">
      <c r="A5" s="15" t="str">
        <f>IFERROR(RIGHT(IF(VLOOKUP(B5,Patterns!H:I,2,0)="NO_PATTERN","",VLOOKUP(B5,Patterns!H:I,2,0)),LEN(IF(VLOOKUP(B5,Patterns!H:I,2,0)="NO_PATTERN","",VLOOKUP(B5,Patterns!H:I,2,0)))-3),"")</f>
        <v>HIKKAKE_Bull</v>
      </c>
      <c r="B5" s="3" t="s">
        <v>126</v>
      </c>
      <c r="C5" s="26">
        <v>24.200000762939453</v>
      </c>
      <c r="D5" s="8">
        <v>1</v>
      </c>
      <c r="E5" s="7">
        <v>7.555558946397567E-2</v>
      </c>
      <c r="F5" s="9">
        <v>5.2630733585772395E-2</v>
      </c>
      <c r="G5" s="9">
        <v>0.15789420849110775</v>
      </c>
      <c r="H5" s="8">
        <v>80.759597253420466</v>
      </c>
      <c r="I5" s="8">
        <v>-10.191072859120286</v>
      </c>
      <c r="J5" s="7">
        <v>4.7114995387181793E-2</v>
      </c>
      <c r="K5" s="7">
        <v>6.2434244654395272E-3</v>
      </c>
      <c r="L5" s="7">
        <v>-4.6382413188887826E-2</v>
      </c>
      <c r="M5" s="8">
        <v>85.572601921579917</v>
      </c>
      <c r="N5" s="8">
        <v>61.735005084598626</v>
      </c>
      <c r="O5" s="8">
        <v>87.796023465872779</v>
      </c>
      <c r="P5" s="8">
        <v>25.645819929767168</v>
      </c>
      <c r="Q5" s="9">
        <v>1.2923394347481798</v>
      </c>
      <c r="R5" s="9">
        <v>1.0962388650381132</v>
      </c>
      <c r="S5" s="8">
        <v>64.008162329208218</v>
      </c>
      <c r="T5" s="9">
        <v>0.10115005505484626</v>
      </c>
      <c r="U5" s="8">
        <v>65.701084054675704</v>
      </c>
      <c r="V5" s="7">
        <v>-6.902329594283307E-3</v>
      </c>
      <c r="W5" s="7">
        <v>9.0042889361681422E-2</v>
      </c>
      <c r="X5" s="9">
        <v>0.3660106641501234</v>
      </c>
      <c r="Y5" s="9">
        <v>0.29807266799813481</v>
      </c>
      <c r="Z5" s="8">
        <v>12.862738383776662</v>
      </c>
      <c r="AA5" s="8">
        <v>76.786992860994701</v>
      </c>
      <c r="AB5" s="6">
        <v>0.80857140677315853</v>
      </c>
      <c r="AC5" s="8">
        <v>67.264328460330688</v>
      </c>
      <c r="AD5" s="8">
        <v>0</v>
      </c>
      <c r="AE5" s="8">
        <v>0</v>
      </c>
      <c r="AF5" s="8">
        <v>0</v>
      </c>
      <c r="AG5" s="8">
        <v>0</v>
      </c>
      <c r="AH5" s="8">
        <v>1</v>
      </c>
      <c r="AI5" s="8">
        <v>0</v>
      </c>
    </row>
    <row r="6" spans="1:35" ht="15" x14ac:dyDescent="0.25">
      <c r="A6" s="15" t="str">
        <f>IFERROR(RIGHT(IF(VLOOKUP(B6,Patterns!H:I,2,0)="NO_PATTERN","",VLOOKUP(B6,Patterns!H:I,2,0)),LEN(IF(VLOOKUP(B6,Patterns!H:I,2,0)="NO_PATTERN","",VLOOKUP(B6,Patterns!H:I,2,0)))-3),"")</f>
        <v>MATCHINGLOW_Bull</v>
      </c>
      <c r="B6" s="3" t="s">
        <v>109</v>
      </c>
      <c r="C6" s="26">
        <v>52.799999237060547</v>
      </c>
      <c r="D6" s="8">
        <v>1</v>
      </c>
      <c r="E6" s="7">
        <v>7.3170699558867458E-2</v>
      </c>
      <c r="F6" s="9">
        <v>2.6666005452473957E-2</v>
      </c>
      <c r="G6" s="9">
        <v>0.40000025431315106</v>
      </c>
      <c r="H6" s="8">
        <v>79.293168850856603</v>
      </c>
      <c r="I6" s="8">
        <v>-5.6228333229139986</v>
      </c>
      <c r="J6" s="7">
        <v>4.6087460184738756E-2</v>
      </c>
      <c r="K6" s="7">
        <v>-2.5983469982520956E-2</v>
      </c>
      <c r="L6" s="7">
        <v>-9.2520658200603637E-2</v>
      </c>
      <c r="M6" s="8">
        <v>84.736382206099591</v>
      </c>
      <c r="N6" s="8">
        <v>57.0864943142737</v>
      </c>
      <c r="O6" s="8">
        <v>88.111166478879326</v>
      </c>
      <c r="P6" s="8">
        <v>21.789249135293037</v>
      </c>
      <c r="Q6" s="9">
        <v>1.6695349663514825</v>
      </c>
      <c r="R6" s="9">
        <v>2.0171708339109808</v>
      </c>
      <c r="S6" s="8">
        <v>85.740996024792906</v>
      </c>
      <c r="T6" s="9">
        <v>0.17260391689871479</v>
      </c>
      <c r="U6" s="8">
        <v>55.562901358974571</v>
      </c>
      <c r="V6" s="7">
        <v>-5.5574854063190189E-2</v>
      </c>
      <c r="W6" s="7">
        <v>0.11214679365543512</v>
      </c>
      <c r="X6" s="9">
        <v>0.39657803316210538</v>
      </c>
      <c r="Y6" s="9">
        <v>0.35581098609493389</v>
      </c>
      <c r="Z6" s="8">
        <v>23.858037427118024</v>
      </c>
      <c r="AA6" s="8">
        <v>-10.257083467817795</v>
      </c>
      <c r="AB6" s="6">
        <v>1.9292858668736048</v>
      </c>
      <c r="AC6" s="8">
        <v>80.208866287852999</v>
      </c>
      <c r="AD6" s="8">
        <v>0</v>
      </c>
      <c r="AE6" s="8">
        <v>0</v>
      </c>
      <c r="AF6" s="8">
        <v>0</v>
      </c>
      <c r="AG6" s="8">
        <v>0</v>
      </c>
      <c r="AH6" s="8">
        <v>1</v>
      </c>
      <c r="AI6" s="8">
        <v>0</v>
      </c>
    </row>
    <row r="7" spans="1:35" ht="15" x14ac:dyDescent="0.25">
      <c r="A7" s="15" t="str">
        <f>IFERROR(RIGHT(IF(VLOOKUP(B7,Patterns!H:I,2,0)="NO_PATTERN","",VLOOKUP(B7,Patterns!H:I,2,0)),LEN(IF(VLOOKUP(B7,Patterns!H:I,2,0)="NO_PATTERN","",VLOOKUP(B7,Patterns!H:I,2,0)))-3),"")</f>
        <v/>
      </c>
      <c r="B7" s="3" t="s">
        <v>133</v>
      </c>
      <c r="C7" s="26">
        <v>21.670000076293945</v>
      </c>
      <c r="D7" s="8">
        <v>0</v>
      </c>
      <c r="E7" s="7">
        <v>7.9069802927416166E-3</v>
      </c>
      <c r="F7" s="9">
        <v>1.529412424687812</v>
      </c>
      <c r="G7" s="9">
        <v>0.85293787656093978</v>
      </c>
      <c r="H7" s="8">
        <v>34.117354404755311</v>
      </c>
      <c r="I7" s="8">
        <v>79.304733351595743</v>
      </c>
      <c r="J7" s="7">
        <v>1.9713249241765547E-2</v>
      </c>
      <c r="K7" s="7">
        <v>5.3518560240046725E-2</v>
      </c>
      <c r="L7" s="7">
        <v>-3.4266890302559812E-2</v>
      </c>
      <c r="M7" s="8">
        <v>76.772957856573171</v>
      </c>
      <c r="N7" s="8">
        <v>69.549821511222717</v>
      </c>
      <c r="O7" s="8">
        <v>-79.430350599533682</v>
      </c>
      <c r="P7" s="8">
        <v>81.767344178804109</v>
      </c>
      <c r="Q7" s="9">
        <v>0.84360372396727668</v>
      </c>
      <c r="R7" s="9">
        <v>0.83971777032926798</v>
      </c>
      <c r="S7" s="8">
        <v>87.446784361093393</v>
      </c>
      <c r="T7" s="9">
        <v>0.14041486988865803</v>
      </c>
      <c r="U7" s="8">
        <v>-65.880479627405748</v>
      </c>
      <c r="V7" s="7">
        <v>-1.8277423188420384E-2</v>
      </c>
      <c r="W7" s="7">
        <v>0.11532405183309986</v>
      </c>
      <c r="X7" s="9">
        <v>0.23281044802293382</v>
      </c>
      <c r="Y7" s="9">
        <v>0.24978408253814186</v>
      </c>
      <c r="Z7" s="8">
        <v>25.632437826252961</v>
      </c>
      <c r="AA7" s="8">
        <v>81.537224635212311</v>
      </c>
      <c r="AB7" s="6">
        <v>0.64785698481968468</v>
      </c>
      <c r="AC7" s="8">
        <v>49.976686702183372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I7" s="8">
        <v>0</v>
      </c>
    </row>
    <row r="8" spans="1:35" ht="15" x14ac:dyDescent="0.25">
      <c r="A8" s="15" t="str">
        <f>IFERROR(RIGHT(IF(VLOOKUP(B8,Patterns!H:I,2,0)="NO_PATTERN","",VLOOKUP(B8,Patterns!H:I,2,0)),LEN(IF(VLOOKUP(B8,Patterns!H:I,2,0)="NO_PATTERN","",VLOOKUP(B8,Patterns!H:I,2,0)))-3),"")</f>
        <v>CLOSINGMARUBOZU_Bear</v>
      </c>
      <c r="B8" s="3" t="s">
        <v>168</v>
      </c>
      <c r="C8" s="26">
        <v>23.809999465942383</v>
      </c>
      <c r="D8" s="8">
        <v>-1</v>
      </c>
      <c r="E8" s="7">
        <v>-4.5986877090598011E-3</v>
      </c>
      <c r="F8" s="9">
        <v>12.444411477980758</v>
      </c>
      <c r="G8" s="9">
        <v>3.7777730682829653</v>
      </c>
      <c r="H8" s="8">
        <v>82.022226141125813</v>
      </c>
      <c r="I8" s="8">
        <v>-43.135890125222495</v>
      </c>
      <c r="J8" s="7">
        <v>9.5213907939176601E-3</v>
      </c>
      <c r="K8" s="7">
        <v>-5.6612158971039259E-2</v>
      </c>
      <c r="L8" s="7">
        <v>-6.0179952186556432E-2</v>
      </c>
      <c r="M8" s="8">
        <v>69.375488718531386</v>
      </c>
      <c r="N8" s="8">
        <v>46.781318353506151</v>
      </c>
      <c r="O8" s="8">
        <v>87.252597661784321</v>
      </c>
      <c r="P8" s="8">
        <v>45.097917259391096</v>
      </c>
      <c r="Q8" s="9">
        <v>0.53408555639363953</v>
      </c>
      <c r="R8" s="9">
        <v>0.64731960219876683</v>
      </c>
      <c r="S8" s="8">
        <v>86.172015197641031</v>
      </c>
      <c r="T8" s="9">
        <v>0.1635890373894173</v>
      </c>
      <c r="U8" s="8">
        <v>-82.612236560050533</v>
      </c>
      <c r="V8" s="7">
        <v>-8.9722844812732544E-2</v>
      </c>
      <c r="W8" s="7">
        <v>7.5065114567269289E-2</v>
      </c>
      <c r="X8" s="9">
        <v>0.27476025414487315</v>
      </c>
      <c r="Y8" s="9">
        <v>0.28605932233219239</v>
      </c>
      <c r="Z8" s="8">
        <v>43.857581199357874</v>
      </c>
      <c r="AA8" s="8">
        <v>-86.956100150445081</v>
      </c>
      <c r="AB8" s="6">
        <v>0.85785702296665733</v>
      </c>
      <c r="AC8" s="8">
        <v>80.415250087936926</v>
      </c>
      <c r="AD8" s="8">
        <v>0</v>
      </c>
      <c r="AE8" s="8">
        <v>0</v>
      </c>
      <c r="AF8" s="8">
        <v>0</v>
      </c>
      <c r="AG8" s="8">
        <v>0</v>
      </c>
      <c r="AH8" s="8">
        <v>1</v>
      </c>
      <c r="AI8" s="8">
        <v>0</v>
      </c>
    </row>
    <row r="9" spans="1:35" ht="15" x14ac:dyDescent="0.25">
      <c r="A9" s="15" t="str">
        <f>IFERROR(RIGHT(IF(VLOOKUP(B9,Patterns!H:I,2,0)="NO_PATTERN","",VLOOKUP(B9,Patterns!H:I,2,0)),LEN(IF(VLOOKUP(B9,Patterns!H:I,2,0)="NO_PATTERN","",VLOOKUP(B9,Patterns!H:I,2,0)))-3),"")</f>
        <v>RICKSHAWMAN_Bull</v>
      </c>
      <c r="B9" s="3" t="s">
        <v>157</v>
      </c>
      <c r="C9" s="26">
        <v>24.629999160766602</v>
      </c>
      <c r="D9" s="8">
        <v>1</v>
      </c>
      <c r="E9" s="7">
        <v>2.4419807361666379E-3</v>
      </c>
      <c r="F9" s="9">
        <v>1.6774237213051209</v>
      </c>
      <c r="G9" s="9">
        <v>0.45161786511945562</v>
      </c>
      <c r="H9" s="8">
        <v>69.517703741312474</v>
      </c>
      <c r="I9" s="8">
        <v>79.477465184552742</v>
      </c>
      <c r="J9" s="7">
        <v>8.3939184184284622E-3</v>
      </c>
      <c r="K9" s="7">
        <v>2.3861673761377423E-2</v>
      </c>
      <c r="L9" s="7">
        <v>-2.8558251081840062E-3</v>
      </c>
      <c r="M9" s="8">
        <v>63.142174418317644</v>
      </c>
      <c r="N9" s="8">
        <v>60.205043850899898</v>
      </c>
      <c r="O9" s="8">
        <v>75.348270967452365</v>
      </c>
      <c r="P9" s="8">
        <v>73.696786703976002</v>
      </c>
      <c r="Q9" s="9">
        <v>0.74062835782496195</v>
      </c>
      <c r="R9" s="9">
        <v>1.3897226685033885</v>
      </c>
      <c r="S9" s="8">
        <v>89.027154887945741</v>
      </c>
      <c r="T9" s="9">
        <v>8.7966049698344442E-2</v>
      </c>
      <c r="U9" s="8">
        <v>69.014872186372557</v>
      </c>
      <c r="V9" s="7">
        <v>-1.8211973455042819E-2</v>
      </c>
      <c r="W9" s="7">
        <v>6.7582606464813511E-2</v>
      </c>
      <c r="X9" s="9">
        <v>0.23416372221397053</v>
      </c>
      <c r="Y9" s="9">
        <v>0.22579997610342856</v>
      </c>
      <c r="Z9" s="8">
        <v>15.276041976053307</v>
      </c>
      <c r="AA9" s="8">
        <v>85.086348566448223</v>
      </c>
      <c r="AB9" s="6">
        <v>0.69071442740304134</v>
      </c>
      <c r="AC9" s="8">
        <v>72.697537663076957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I9" s="8">
        <v>0</v>
      </c>
    </row>
    <row r="10" spans="1:35" ht="15" x14ac:dyDescent="0.25">
      <c r="A10" s="15" t="str">
        <f>IFERROR(RIGHT(IF(VLOOKUP(B10,Patterns!H:I,2,0)="NO_PATTERN","",VLOOKUP(B10,Patterns!H:I,2,0)),LEN(IF(VLOOKUP(B10,Patterns!H:I,2,0)="NO_PATTERN","",VLOOKUP(B10,Patterns!H:I,2,0)))-3),"")</f>
        <v>HIKKAKE_Bear</v>
      </c>
      <c r="B10" s="3" t="s">
        <v>246</v>
      </c>
      <c r="C10" s="26">
        <v>14.449999809265137</v>
      </c>
      <c r="D10" s="8">
        <v>-1</v>
      </c>
      <c r="E10" s="7">
        <v>-4.2412215828440236E-2</v>
      </c>
      <c r="F10" s="9">
        <v>0.69230678942156032</v>
      </c>
      <c r="G10" s="9">
        <v>0</v>
      </c>
      <c r="H10" s="8">
        <v>85.92587905324298</v>
      </c>
      <c r="I10" s="8">
        <v>81.771347944201707</v>
      </c>
      <c r="J10" s="7">
        <v>4.7836579347373974E-2</v>
      </c>
      <c r="K10" s="7">
        <v>0.13975483267199068</v>
      </c>
      <c r="L10" s="7">
        <v>0.20541242334706489</v>
      </c>
      <c r="M10" s="8">
        <v>59.997875707958379</v>
      </c>
      <c r="N10" s="8">
        <v>67.830075542558234</v>
      </c>
      <c r="O10" s="8">
        <v>86.603604888088142</v>
      </c>
      <c r="P10" s="8">
        <v>88.157377696542213</v>
      </c>
      <c r="Q10" s="9">
        <v>0.19547490609618401</v>
      </c>
      <c r="R10" s="9">
        <v>0.74228675136116151</v>
      </c>
      <c r="S10" s="8">
        <v>86.82152378567163</v>
      </c>
      <c r="T10" s="9">
        <v>0.34097296586506687</v>
      </c>
      <c r="U10" s="8">
        <v>86.961877186095535</v>
      </c>
      <c r="V10" s="7">
        <v>-2.6990522621648201E-2</v>
      </c>
      <c r="W10" s="7">
        <v>0.27218081298941199</v>
      </c>
      <c r="X10" s="9">
        <v>0.5490428118790639</v>
      </c>
      <c r="Y10" s="9">
        <v>0.56794339129689386</v>
      </c>
      <c r="Z10" s="8">
        <v>33.454208842087901</v>
      </c>
      <c r="AA10" s="8">
        <v>87.609886909478448</v>
      </c>
      <c r="AB10" s="6">
        <v>0.80428573063441688</v>
      </c>
      <c r="AC10" s="8">
        <v>84.974830124437233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I10" s="8">
        <v>0</v>
      </c>
    </row>
    <row r="11" spans="1:35" ht="15" x14ac:dyDescent="0.25">
      <c r="A11" s="15" t="str">
        <f>IFERROR(RIGHT(IF(VLOOKUP(B11,Patterns!H:I,2,0)="NO_PATTERN","",VLOOKUP(B11,Patterns!H:I,2,0)),LEN(IF(VLOOKUP(B11,Patterns!H:I,2,0)="NO_PATTERN","",VLOOKUP(B11,Patterns!H:I,2,0)))-3),"")</f>
        <v>RICKSHAWMAN_Bull</v>
      </c>
      <c r="B11" s="3" t="s">
        <v>108</v>
      </c>
      <c r="C11" s="26">
        <v>32.049999237060547</v>
      </c>
      <c r="D11" s="8">
        <v>1</v>
      </c>
      <c r="E11" s="7">
        <v>5.5855016461692442E-2</v>
      </c>
      <c r="F11" s="9">
        <v>1.7368403088697664</v>
      </c>
      <c r="G11" s="9">
        <v>0.11579002316924794</v>
      </c>
      <c r="H11" s="8">
        <v>-75.146684521875514</v>
      </c>
      <c r="I11" s="8">
        <v>46.04638364124159</v>
      </c>
      <c r="J11" s="7">
        <v>1.3722598449898852E-2</v>
      </c>
      <c r="K11" s="7">
        <v>-4.0671584313755643E-2</v>
      </c>
      <c r="L11" s="7">
        <v>-0.14349609860854995</v>
      </c>
      <c r="M11" s="8">
        <v>59.230670424505675</v>
      </c>
      <c r="N11" s="8">
        <v>51.275652404957405</v>
      </c>
      <c r="O11" s="8">
        <v>-85.088676593845818</v>
      </c>
      <c r="P11" s="8">
        <v>53.841038409882174</v>
      </c>
      <c r="Q11" s="9">
        <v>1.3093778876990814</v>
      </c>
      <c r="R11" s="9">
        <v>1.8502868259142886</v>
      </c>
      <c r="S11" s="8">
        <v>75.688391301598443</v>
      </c>
      <c r="T11" s="9">
        <v>0.10763131172979674</v>
      </c>
      <c r="U11" s="8">
        <v>-69.357472974117826</v>
      </c>
      <c r="V11" s="7">
        <v>-4.05813135596549E-2</v>
      </c>
      <c r="W11" s="7">
        <v>6.5698310506111621E-2</v>
      </c>
      <c r="X11" s="9">
        <v>0.50252161451592492</v>
      </c>
      <c r="Y11" s="9">
        <v>0.39799931831212321</v>
      </c>
      <c r="Z11" s="8">
        <v>19.667553163544259</v>
      </c>
      <c r="AA11" s="8">
        <v>-86.262550396688184</v>
      </c>
      <c r="AB11" s="6">
        <v>1.5786360331944056</v>
      </c>
      <c r="AC11" s="8">
        <v>73.651979337900329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I11" s="8">
        <v>0</v>
      </c>
    </row>
    <row r="12" spans="1:35" ht="15" x14ac:dyDescent="0.25">
      <c r="A12" s="15" t="str">
        <f>IFERROR(RIGHT(IF(VLOOKUP(B12,Patterns!H:I,2,0)="NO_PATTERN","",VLOOKUP(B12,Patterns!H:I,2,0)),LEN(IF(VLOOKUP(B12,Patterns!H:I,2,0)="NO_PATTERN","",VLOOKUP(B12,Patterns!H:I,2,0)))-3),"")</f>
        <v>BELTHOLD_Bear</v>
      </c>
      <c r="B12" s="3" t="s">
        <v>137</v>
      </c>
      <c r="C12" s="26">
        <v>18.299999237060547</v>
      </c>
      <c r="D12" s="8">
        <v>-1</v>
      </c>
      <c r="E12" s="7">
        <v>2.8089888844431643E-2</v>
      </c>
      <c r="F12" s="9">
        <v>0.30379756003930591</v>
      </c>
      <c r="G12" s="9">
        <v>0.30379997440769507</v>
      </c>
      <c r="H12" s="8">
        <v>-78.123203651168268</v>
      </c>
      <c r="I12" s="8">
        <v>-35.290363885357792</v>
      </c>
      <c r="J12" s="7">
        <v>-2.0579081393655607E-2</v>
      </c>
      <c r="K12" s="7">
        <v>-0.14437784782184013</v>
      </c>
      <c r="L12" s="7">
        <v>-0.37099681536222612</v>
      </c>
      <c r="M12" s="8">
        <v>43.952929352414088</v>
      </c>
      <c r="N12" s="8">
        <v>37.075897099933613</v>
      </c>
      <c r="O12" s="8">
        <v>-80.481149184007933</v>
      </c>
      <c r="P12" s="8">
        <v>23.722909745667806</v>
      </c>
      <c r="Q12" s="9">
        <v>0.87095830740510283</v>
      </c>
      <c r="R12" s="9">
        <v>0.57746864611665161</v>
      </c>
      <c r="S12" s="8">
        <v>-45.064369403463331</v>
      </c>
      <c r="T12" s="9">
        <v>0.18672113536959467</v>
      </c>
      <c r="U12" s="8">
        <v>-71.320958885642227</v>
      </c>
      <c r="V12" s="7">
        <v>-0.15128480826137261</v>
      </c>
      <c r="W12" s="7">
        <v>4.5328470912879303E-2</v>
      </c>
      <c r="X12" s="9">
        <v>0.40973031488319894</v>
      </c>
      <c r="Y12" s="9">
        <v>0.3531653405970735</v>
      </c>
      <c r="Z12" s="8">
        <v>36.936163206081474</v>
      </c>
      <c r="AA12" s="8">
        <v>80.202575600839154</v>
      </c>
      <c r="AB12" s="6">
        <v>0.75928592681884766</v>
      </c>
      <c r="AC12" s="8">
        <v>30.464677692585198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I12" s="8">
        <v>0</v>
      </c>
    </row>
    <row r="13" spans="1:35" ht="15" x14ac:dyDescent="0.25">
      <c r="A13" s="15" t="str">
        <f>IFERROR(RIGHT(IF(VLOOKUP(B13,Patterns!H:I,2,0)="NO_PATTERN","",VLOOKUP(B13,Patterns!H:I,2,0)),LEN(IF(VLOOKUP(B13,Patterns!H:I,2,0)="NO_PATTERN","",VLOOKUP(B13,Patterns!H:I,2,0)))-3),"")</f>
        <v>BELTHOLD_Bear</v>
      </c>
      <c r="B13" s="3" t="s">
        <v>122</v>
      </c>
      <c r="C13" s="26">
        <v>25.620000839233398</v>
      </c>
      <c r="D13" s="8">
        <v>-1</v>
      </c>
      <c r="E13" s="7">
        <v>3.1323383256973703E-3</v>
      </c>
      <c r="F13" s="9">
        <v>3.4814775569024712</v>
      </c>
      <c r="G13" s="9">
        <v>1.1851820455219768</v>
      </c>
      <c r="H13" s="8">
        <v>-60.545886853509487</v>
      </c>
      <c r="I13" s="8">
        <v>52.909142643803449</v>
      </c>
      <c r="J13" s="7">
        <v>-7.2165851370720735E-3</v>
      </c>
      <c r="K13" s="7">
        <v>-7.2946205638137931E-2</v>
      </c>
      <c r="L13" s="7">
        <v>-0.25153046633509729</v>
      </c>
      <c r="M13" s="8">
        <v>41.591323422044162</v>
      </c>
      <c r="N13" s="8">
        <v>44.960547851453185</v>
      </c>
      <c r="O13" s="8">
        <v>-81.722139164693587</v>
      </c>
      <c r="P13" s="8">
        <v>65.829102287887309</v>
      </c>
      <c r="Q13" s="9">
        <v>0.78162794361602561</v>
      </c>
      <c r="R13" s="9">
        <v>0.56007459416295813</v>
      </c>
      <c r="S13" s="8">
        <v>72.503823640260237</v>
      </c>
      <c r="T13" s="9">
        <v>0.12191046383644355</v>
      </c>
      <c r="U13" s="8">
        <v>-77.576451711392139</v>
      </c>
      <c r="V13" s="7">
        <v>-6.7456759011604875E-2</v>
      </c>
      <c r="W13" s="7">
        <v>5.5200771392545304E-2</v>
      </c>
      <c r="X13" s="9">
        <v>0.36921089555296971</v>
      </c>
      <c r="Y13" s="9">
        <v>0.34036436647295787</v>
      </c>
      <c r="Z13" s="8">
        <v>24.079374627689827</v>
      </c>
      <c r="AA13" s="8">
        <v>-69.4760684921538</v>
      </c>
      <c r="AB13" s="6">
        <v>0.95071452004568913</v>
      </c>
      <c r="AC13" s="8">
        <v>65.131182361443592</v>
      </c>
      <c r="AD13" s="8">
        <v>0</v>
      </c>
      <c r="AE13" s="8">
        <v>0</v>
      </c>
      <c r="AF13" s="8">
        <v>0</v>
      </c>
      <c r="AG13" s="8">
        <v>0</v>
      </c>
      <c r="AH13" s="8">
        <v>-1</v>
      </c>
      <c r="AI13" s="8">
        <v>0</v>
      </c>
    </row>
    <row r="14" spans="1:35" ht="15" hidden="1" x14ac:dyDescent="0.25">
      <c r="A14" s="15" t="str">
        <f>IFERROR(RIGHT(IF(VLOOKUP(B14,Patterns!H:I,2,0)="NO_PATTERN","",VLOOKUP(B14,Patterns!H:I,2,0)),LEN(IF(VLOOKUP(B14,Patterns!H:I,2,0)="NO_PATTERN","",VLOOKUP(B14,Patterns!H:I,2,0)))-3),"")</f>
        <v>LONGLINE_Bear</v>
      </c>
      <c r="B14" s="3" t="s">
        <v>169</v>
      </c>
      <c r="C14" s="26">
        <v>19.030000686645508</v>
      </c>
      <c r="D14" s="8">
        <v>-1</v>
      </c>
      <c r="E14" s="7">
        <v>-9.3700367728096756E-3</v>
      </c>
      <c r="F14" s="9">
        <v>23.250584140002861</v>
      </c>
      <c r="G14" s="9">
        <v>1.5000238424490964</v>
      </c>
      <c r="H14" s="8">
        <v>-60.510087827484341</v>
      </c>
      <c r="I14" s="8">
        <v>81.059878059965754</v>
      </c>
      <c r="J14" s="7">
        <v>7.9482226120109172E-4</v>
      </c>
      <c r="K14" s="7">
        <v>3.1014358786402799E-2</v>
      </c>
      <c r="L14" s="7">
        <v>4.146070316981515E-2</v>
      </c>
      <c r="M14" s="8">
        <v>40.811014356924545</v>
      </c>
      <c r="N14" s="8">
        <v>55.786689086789501</v>
      </c>
      <c r="O14" s="8">
        <v>-87.517938335959599</v>
      </c>
      <c r="P14" s="8">
        <v>83.403784631834768</v>
      </c>
      <c r="Q14" s="9">
        <v>0.37852974010718166</v>
      </c>
      <c r="R14" s="9">
        <v>0.68893957003866868</v>
      </c>
      <c r="S14" s="8">
        <v>-86.81195264714944</v>
      </c>
      <c r="T14" s="9">
        <v>0.11319376107992397</v>
      </c>
      <c r="U14" s="8">
        <v>76.231031765692236</v>
      </c>
      <c r="V14" s="7">
        <v>-3.3943574679284383E-2</v>
      </c>
      <c r="W14" s="7">
        <v>7.6823326224832927E-2</v>
      </c>
      <c r="X14" s="9">
        <v>0.23019891338517695</v>
      </c>
      <c r="Y14" s="9">
        <v>0.21096219559612445</v>
      </c>
      <c r="Z14" s="8">
        <v>22.921707655805896</v>
      </c>
      <c r="AA14" s="8">
        <v>85.310974054129829</v>
      </c>
      <c r="AB14" s="6">
        <v>0.53785691942487446</v>
      </c>
      <c r="AC14" s="8">
        <v>81.049817597116373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I14" s="8">
        <v>0</v>
      </c>
    </row>
    <row r="15" spans="1:35" ht="15" x14ac:dyDescent="0.25">
      <c r="A15" s="15" t="str">
        <f>IFERROR(RIGHT(IF(VLOOKUP(B15,Patterns!H:I,2,0)="NO_PATTERN","",VLOOKUP(B15,Patterns!H:I,2,0)),LEN(IF(VLOOKUP(B15,Patterns!H:I,2,0)="NO_PATTERN","",VLOOKUP(B15,Patterns!H:I,2,0)))-3),"")</f>
        <v>LONGLINE_Bear</v>
      </c>
      <c r="B15" s="3" t="s">
        <v>138</v>
      </c>
      <c r="C15" s="26">
        <v>12.270000457763672</v>
      </c>
      <c r="D15" s="8">
        <v>-1</v>
      </c>
      <c r="E15" s="7">
        <v>2.0798668093105377E-2</v>
      </c>
      <c r="F15" s="9">
        <v>2.7025006830354612E-2</v>
      </c>
      <c r="G15" s="9">
        <v>0.4594560460237026</v>
      </c>
      <c r="H15" s="8">
        <v>-80.736661947143944</v>
      </c>
      <c r="I15" s="8">
        <v>-12.657846094484759</v>
      </c>
      <c r="J15" s="7">
        <v>-1.3325077163013814E-2</v>
      </c>
      <c r="K15" s="7">
        <v>-2.3963040934698702E-2</v>
      </c>
      <c r="L15" s="7">
        <v>-2.0800015338523288E-3</v>
      </c>
      <c r="M15" s="8">
        <v>39.740553483794756</v>
      </c>
      <c r="N15" s="8">
        <v>45.621015897597331</v>
      </c>
      <c r="O15" s="8">
        <v>-88.370629512969018</v>
      </c>
      <c r="P15" s="8">
        <v>49.442175857436801</v>
      </c>
      <c r="Q15" s="9">
        <v>0.48215176299776585</v>
      </c>
      <c r="R15" s="9">
        <v>0.41267790413764627</v>
      </c>
      <c r="S15" s="8">
        <v>-69.06301821724027</v>
      </c>
      <c r="T15" s="9">
        <v>9.2184683039453888E-2</v>
      </c>
      <c r="U15" s="8">
        <v>-83.522965647667661</v>
      </c>
      <c r="V15" s="7">
        <v>-5.8882804900672041E-2</v>
      </c>
      <c r="W15" s="7">
        <v>3.4429010769336466E-2</v>
      </c>
      <c r="X15" s="9">
        <v>0.29178121370134935</v>
      </c>
      <c r="Y15" s="9">
        <v>0.35702928077262897</v>
      </c>
      <c r="Z15" s="8">
        <v>14.468195234167183</v>
      </c>
      <c r="AA15" s="8">
        <v>-51.673548823568574</v>
      </c>
      <c r="AB15" s="6">
        <v>0.43500001089913504</v>
      </c>
      <c r="AC15" s="8">
        <v>79.117737873471128</v>
      </c>
      <c r="AD15" s="8">
        <v>0</v>
      </c>
      <c r="AE15" s="8">
        <v>0</v>
      </c>
      <c r="AF15" s="8">
        <v>0</v>
      </c>
      <c r="AG15" s="8">
        <v>-1</v>
      </c>
      <c r="AH15" s="8">
        <v>-1</v>
      </c>
      <c r="AI15" s="8">
        <v>0</v>
      </c>
    </row>
    <row r="16" spans="1:35" ht="15" x14ac:dyDescent="0.25">
      <c r="A16" s="15" t="str">
        <f>IFERROR(RIGHT(IF(VLOOKUP(B16,Patterns!H:I,2,0)="NO_PATTERN","",VLOOKUP(B16,Patterns!H:I,2,0)),LEN(IF(VLOOKUP(B16,Patterns!H:I,2,0)="NO_PATTERN","",VLOOKUP(B16,Patterns!H:I,2,0)))-3),"")</f>
        <v>LADDERBOTTOM_Bull</v>
      </c>
      <c r="B16" s="3" t="s">
        <v>242</v>
      </c>
      <c r="C16" s="26">
        <v>12.649999618530273</v>
      </c>
      <c r="D16" s="8">
        <v>1</v>
      </c>
      <c r="E16" s="7">
        <v>1.933922434078128E-2</v>
      </c>
      <c r="F16" s="9">
        <v>2.0799980163574219</v>
      </c>
      <c r="G16" s="9">
        <v>0.40000152587890625</v>
      </c>
      <c r="H16" s="8">
        <v>-77.421116539086512</v>
      </c>
      <c r="I16" s="8">
        <v>68.181784211136645</v>
      </c>
      <c r="J16" s="7">
        <v>-1.1213204390386767E-2</v>
      </c>
      <c r="K16" s="7">
        <v>-4.4758999590764174E-2</v>
      </c>
      <c r="L16" s="7">
        <v>-0.14370972167045479</v>
      </c>
      <c r="M16" s="8">
        <v>38.998383373766394</v>
      </c>
      <c r="N16" s="8">
        <v>49.447534284056829</v>
      </c>
      <c r="O16" s="8">
        <v>-87.540511297798261</v>
      </c>
      <c r="P16" s="8">
        <v>79.219674358628723</v>
      </c>
      <c r="Q16" s="9">
        <v>0.95490622314342066</v>
      </c>
      <c r="R16" s="9">
        <v>0.76673359877740399</v>
      </c>
      <c r="S16" s="8">
        <v>-19.884401253102794</v>
      </c>
      <c r="T16" s="9">
        <v>0.22960028788205827</v>
      </c>
      <c r="U16" s="8">
        <v>58.582850809525759</v>
      </c>
      <c r="V16" s="7">
        <v>-9.3121063347217925E-2</v>
      </c>
      <c r="W16" s="7">
        <v>0.13201427790524906</v>
      </c>
      <c r="X16" s="9">
        <v>0.57322222944704448</v>
      </c>
      <c r="Y16" s="9">
        <v>0.4471059416385767</v>
      </c>
      <c r="Z16" s="8">
        <v>24.912600920155025</v>
      </c>
      <c r="AA16" s="8">
        <v>-84.318237681817536</v>
      </c>
      <c r="AB16" s="6">
        <v>0.60999986103602821</v>
      </c>
      <c r="AC16" s="8">
        <v>71.036319432919626</v>
      </c>
      <c r="AD16" s="8">
        <v>0</v>
      </c>
      <c r="AE16" s="8">
        <v>0</v>
      </c>
      <c r="AF16" s="8">
        <v>0</v>
      </c>
      <c r="AG16" s="8">
        <v>0</v>
      </c>
      <c r="AH16" s="8">
        <v>-1</v>
      </c>
      <c r="AI16" s="8">
        <v>0</v>
      </c>
    </row>
    <row r="17" spans="1:35" ht="15" x14ac:dyDescent="0.25">
      <c r="A17" s="15" t="str">
        <f>IFERROR(RIGHT(IF(VLOOKUP(B17,Patterns!H:I,2,0)="NO_PATTERN","",VLOOKUP(B17,Patterns!H:I,2,0)),LEN(IF(VLOOKUP(B17,Patterns!H:I,2,0)="NO_PATTERN","",VLOOKUP(B17,Patterns!H:I,2,0)))-3),"")</f>
        <v/>
      </c>
      <c r="B17" s="3" t="s">
        <v>147</v>
      </c>
      <c r="C17" s="26">
        <v>51.5</v>
      </c>
      <c r="D17" s="8">
        <v>0</v>
      </c>
      <c r="E17" s="7">
        <v>1.6982634690303033E-2</v>
      </c>
      <c r="F17" s="9">
        <v>0</v>
      </c>
      <c r="G17" s="9">
        <v>0.38666788736979169</v>
      </c>
      <c r="H17" s="8">
        <v>-81.826467013765196</v>
      </c>
      <c r="I17" s="8">
        <v>29.442828782798212</v>
      </c>
      <c r="J17" s="7">
        <v>-1.8853595547991341E-2</v>
      </c>
      <c r="K17" s="7">
        <v>-6.6738395801607314E-2</v>
      </c>
      <c r="L17" s="7">
        <v>-7.5313800093337255E-2</v>
      </c>
      <c r="M17" s="8">
        <v>36.373850021398731</v>
      </c>
      <c r="N17" s="8">
        <v>42.781516210577053</v>
      </c>
      <c r="O17" s="8">
        <v>-87.450012975022133</v>
      </c>
      <c r="P17" s="8">
        <v>47.23441572332235</v>
      </c>
      <c r="Q17" s="9">
        <v>5.6101129513665304E-2</v>
      </c>
      <c r="R17" s="9">
        <v>2.6134425110883708E-2</v>
      </c>
      <c r="S17" s="8">
        <v>-78.710626976960768</v>
      </c>
      <c r="T17" s="9">
        <v>0.11379487197974217</v>
      </c>
      <c r="U17" s="8">
        <v>-57.193289113841274</v>
      </c>
      <c r="V17" s="7">
        <v>-7.7676233061292094E-2</v>
      </c>
      <c r="W17" s="7">
        <v>3.8355866933314942E-2</v>
      </c>
      <c r="X17" s="9">
        <v>0.36268489060827658</v>
      </c>
      <c r="Y17" s="9">
        <v>0.35540719641037333</v>
      </c>
      <c r="Z17" s="8">
        <v>16.18595881162608</v>
      </c>
      <c r="AA17" s="8">
        <v>-48.908870639761744</v>
      </c>
      <c r="AB17" s="6">
        <v>1.7085715702601842</v>
      </c>
      <c r="AC17" s="8">
        <v>58.495879506141975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I17" s="8">
        <v>0</v>
      </c>
    </row>
    <row r="18" spans="1:35" ht="15" x14ac:dyDescent="0.25">
      <c r="A18" s="15" t="str">
        <f>IFERROR(RIGHT(IF(VLOOKUP(B18,Patterns!H:I,2,0)="NO_PATTERN","",VLOOKUP(B18,Patterns!H:I,2,0)),LEN(IF(VLOOKUP(B18,Patterns!H:I,2,0)="NO_PATTERN","",VLOOKUP(B18,Patterns!H:I,2,0)))-3),"")</f>
        <v/>
      </c>
      <c r="B18" s="3" t="s">
        <v>93</v>
      </c>
      <c r="C18" s="26">
        <v>12.619999885559082</v>
      </c>
      <c r="D18" s="8">
        <v>0</v>
      </c>
      <c r="E18" s="7">
        <v>-2.9976966676523498E-2</v>
      </c>
      <c r="F18" s="9">
        <v>1.2424240672774036</v>
      </c>
      <c r="G18" s="9">
        <v>0</v>
      </c>
      <c r="H18" s="8">
        <v>-22.816224277987878</v>
      </c>
      <c r="I18" s="8">
        <v>66.613308848003982</v>
      </c>
      <c r="J18" s="7">
        <v>-1.3989464400755066E-2</v>
      </c>
      <c r="K18" s="7">
        <v>-7.0860029274946182E-2</v>
      </c>
      <c r="L18" s="7">
        <v>-0.2272240518905437</v>
      </c>
      <c r="M18" s="8">
        <v>36.246661510424254</v>
      </c>
      <c r="N18" s="8">
        <v>45.63271324767986</v>
      </c>
      <c r="O18" s="8">
        <v>-38.301536675394324</v>
      </c>
      <c r="P18" s="8">
        <v>69.514432403657338</v>
      </c>
      <c r="Q18" s="9">
        <v>1.47369233343011E-2</v>
      </c>
      <c r="R18" s="9">
        <v>0.26285970914662782</v>
      </c>
      <c r="S18" s="8">
        <v>-85.941295631859035</v>
      </c>
      <c r="T18" s="9">
        <v>0.1354267047935877</v>
      </c>
      <c r="U18" s="8">
        <v>-82.147331920478436</v>
      </c>
      <c r="V18" s="7">
        <v>-7.9561866484518406E-2</v>
      </c>
      <c r="W18" s="7">
        <v>5.7367681011184925E-2</v>
      </c>
      <c r="X18" s="9">
        <v>0.49901797969414868</v>
      </c>
      <c r="Y18" s="9">
        <v>0.37113292009266136</v>
      </c>
      <c r="Z18" s="8">
        <v>23.095742913253169</v>
      </c>
      <c r="AA18" s="8">
        <v>-83.447187188158438</v>
      </c>
      <c r="AB18" s="6">
        <v>0.59357145854404991</v>
      </c>
      <c r="AC18" s="8">
        <v>72.804762229982316</v>
      </c>
      <c r="AD18" s="8">
        <v>0</v>
      </c>
      <c r="AE18" s="8">
        <v>0</v>
      </c>
      <c r="AF18" s="8">
        <v>0</v>
      </c>
      <c r="AG18" s="8">
        <v>0</v>
      </c>
      <c r="AH18" s="8">
        <v>-1</v>
      </c>
      <c r="AI18" s="8">
        <v>0</v>
      </c>
    </row>
    <row r="19" spans="1:35" ht="15" x14ac:dyDescent="0.25">
      <c r="A19" s="15" t="str">
        <f>IFERROR(RIGHT(IF(VLOOKUP(B19,Patterns!H:I,2,0)="NO_PATTERN","",VLOOKUP(B19,Patterns!H:I,2,0)),LEN(IF(VLOOKUP(B19,Patterns!H:I,2,0)="NO_PATTERN","",VLOOKUP(B19,Patterns!H:I,2,0)))-3),"")</f>
        <v/>
      </c>
      <c r="B19" s="3" t="s">
        <v>179</v>
      </c>
      <c r="C19" s="26">
        <v>36.720001220703125</v>
      </c>
      <c r="D19" s="8">
        <v>0</v>
      </c>
      <c r="E19" s="7">
        <v>5.7519284805351845E-3</v>
      </c>
      <c r="F19" s="9">
        <v>1.9152555523227621</v>
      </c>
      <c r="G19" s="9">
        <v>0.72881388808069048</v>
      </c>
      <c r="H19" s="8">
        <v>-81.577602387348563</v>
      </c>
      <c r="I19" s="8">
        <v>70.419463330709789</v>
      </c>
      <c r="J19" s="7">
        <v>-7.9394160482689751E-3</v>
      </c>
      <c r="K19" s="7">
        <v>5.9790123417266715E-2</v>
      </c>
      <c r="L19" s="7">
        <v>0.13875674732729804</v>
      </c>
      <c r="M19" s="8">
        <v>35.830060719076428</v>
      </c>
      <c r="N19" s="8">
        <v>55.411781882487233</v>
      </c>
      <c r="O19" s="8">
        <v>-88.595873449903905</v>
      </c>
      <c r="P19" s="8">
        <v>76.88146216517363</v>
      </c>
      <c r="Q19" s="9">
        <v>0.38283405012605654</v>
      </c>
      <c r="R19" s="9">
        <v>0.34536659795153146</v>
      </c>
      <c r="S19" s="8">
        <v>-40.925086360699702</v>
      </c>
      <c r="T19" s="9">
        <v>0.18329407975503589</v>
      </c>
      <c r="U19" s="8">
        <v>-80.263216832474001</v>
      </c>
      <c r="V19" s="7">
        <v>-6.8666529717055058E-2</v>
      </c>
      <c r="W19" s="7">
        <v>0.11076898466996965</v>
      </c>
      <c r="X19" s="9">
        <v>0.30326245013837561</v>
      </c>
      <c r="Y19" s="9">
        <v>0.3607857607237609</v>
      </c>
      <c r="Z19" s="8">
        <v>28.643602846909072</v>
      </c>
      <c r="AA19" s="8">
        <v>-73.19742706136266</v>
      </c>
      <c r="AB19" s="6">
        <v>1.2135718209402901</v>
      </c>
      <c r="AC19" s="8">
        <v>79.106902677717486</v>
      </c>
      <c r="AD19" s="8">
        <v>0</v>
      </c>
      <c r="AE19" s="8">
        <v>0</v>
      </c>
      <c r="AF19" s="8">
        <v>0</v>
      </c>
      <c r="AG19" s="8">
        <v>-1</v>
      </c>
      <c r="AH19" s="8">
        <v>-1</v>
      </c>
      <c r="AI19" s="8">
        <v>0</v>
      </c>
    </row>
    <row r="20" spans="1:35" ht="15" x14ac:dyDescent="0.25">
      <c r="A20" s="15" t="str">
        <f>IFERROR(RIGHT(IF(VLOOKUP(B20,Patterns!H:I,2,0)="NO_PATTERN","",VLOOKUP(B20,Patterns!H:I,2,0)),LEN(IF(VLOOKUP(B20,Patterns!H:I,2,0)="NO_PATTERN","",VLOOKUP(B20,Patterns!H:I,2,0)))-3),"")</f>
        <v/>
      </c>
      <c r="B20" s="3" t="s">
        <v>127</v>
      </c>
      <c r="C20" s="26">
        <v>26.479999542236328</v>
      </c>
      <c r="D20" s="8">
        <v>0</v>
      </c>
      <c r="E20" s="7">
        <v>7.2270300529646558E-3</v>
      </c>
      <c r="F20" s="9">
        <v>5.4722453283035666</v>
      </c>
      <c r="G20" s="9">
        <v>1.0555623254902169</v>
      </c>
      <c r="H20" s="8">
        <v>-72.369706389997134</v>
      </c>
      <c r="I20" s="8">
        <v>28.055691093033651</v>
      </c>
      <c r="J20" s="7">
        <v>-7.2879486118368501E-3</v>
      </c>
      <c r="K20" s="7">
        <v>0.13218436304957457</v>
      </c>
      <c r="L20" s="7">
        <v>0.30050003480951093</v>
      </c>
      <c r="M20" s="8">
        <v>35.592578772640778</v>
      </c>
      <c r="N20" s="8">
        <v>57.84823330843907</v>
      </c>
      <c r="O20" s="8">
        <v>-85.381320500817822</v>
      </c>
      <c r="P20" s="8">
        <v>57.318309653732484</v>
      </c>
      <c r="Q20" s="9">
        <v>0.44715059304226856</v>
      </c>
      <c r="R20" s="9">
        <v>0.35745298698308647</v>
      </c>
      <c r="S20" s="8">
        <v>-26.747594627246901</v>
      </c>
      <c r="T20" s="9">
        <v>0.29260886445207918</v>
      </c>
      <c r="U20" s="8">
        <v>-85.027322690751276</v>
      </c>
      <c r="V20" s="7">
        <v>-0.12048231181162861</v>
      </c>
      <c r="W20" s="7">
        <v>0.1655351262097485</v>
      </c>
      <c r="X20" s="9">
        <v>0.53228991613727761</v>
      </c>
      <c r="Y20" s="9">
        <v>0.59402536556030383</v>
      </c>
      <c r="Z20" s="8">
        <v>31.228627474170249</v>
      </c>
      <c r="AA20" s="8">
        <v>-81.974378696940207</v>
      </c>
      <c r="AB20" s="6">
        <v>1.5</v>
      </c>
      <c r="AC20" s="8">
        <v>-68.884367804797435</v>
      </c>
      <c r="AD20" s="8">
        <v>0</v>
      </c>
      <c r="AE20" s="8">
        <v>0</v>
      </c>
      <c r="AF20" s="8">
        <v>0</v>
      </c>
      <c r="AG20" s="8">
        <v>0</v>
      </c>
      <c r="AH20" s="8">
        <v>-1</v>
      </c>
      <c r="AI20" s="8">
        <v>0</v>
      </c>
    </row>
    <row r="21" spans="1:35" ht="15" x14ac:dyDescent="0.25">
      <c r="A21" s="15" t="str">
        <f>IFERROR(RIGHT(IF(VLOOKUP(B21,Patterns!H:I,2,0)="NO_PATTERN","",VLOOKUP(B21,Patterns!H:I,2,0)),LEN(IF(VLOOKUP(B21,Patterns!H:I,2,0)="NO_PATTERN","",VLOOKUP(B21,Patterns!H:I,2,0)))-3),"")</f>
        <v>LADDERBOTTOM_Bull</v>
      </c>
      <c r="B21" s="3" t="s">
        <v>213</v>
      </c>
      <c r="C21" s="26">
        <v>7.0999999046325684</v>
      </c>
      <c r="D21" s="8">
        <v>1</v>
      </c>
      <c r="E21" s="7">
        <v>1.1396000558891117E-2</v>
      </c>
      <c r="F21" s="9">
        <v>3.8666636996817907</v>
      </c>
      <c r="G21" s="9">
        <v>1.666665607029211</v>
      </c>
      <c r="H21" s="8">
        <v>-78.157214481330328</v>
      </c>
      <c r="I21" s="8">
        <v>-61.318636259534209</v>
      </c>
      <c r="J21" s="7">
        <v>-4.1471834031594962E-2</v>
      </c>
      <c r="K21" s="7">
        <v>-0.20708571417016466</v>
      </c>
      <c r="L21" s="7">
        <v>-0.40240927452216713</v>
      </c>
      <c r="M21" s="8">
        <v>34.854624494875608</v>
      </c>
      <c r="N21" s="8">
        <v>36.41005666233076</v>
      </c>
      <c r="O21" s="8">
        <v>-82.449995786223894</v>
      </c>
      <c r="P21" s="8">
        <v>21.74149700170064</v>
      </c>
      <c r="Q21" s="9">
        <v>0.99804985392874768</v>
      </c>
      <c r="R21" s="9">
        <v>0.99585234908485631</v>
      </c>
      <c r="S21" s="8">
        <v>72.896864133975669</v>
      </c>
      <c r="T21" s="9">
        <v>0.3058069962508963</v>
      </c>
      <c r="U21" s="8">
        <v>33.498956328327232</v>
      </c>
      <c r="V21" s="7">
        <v>-0.2673819603152976</v>
      </c>
      <c r="W21" s="7">
        <v>6.8790382831172461E-2</v>
      </c>
      <c r="X21" s="9">
        <v>0.61311301253756445</v>
      </c>
      <c r="Y21" s="9">
        <v>0.43164949386353951</v>
      </c>
      <c r="Z21" s="8">
        <v>30.771700157667528</v>
      </c>
      <c r="AA21" s="8">
        <v>20.604952180796158</v>
      </c>
      <c r="AB21" s="6">
        <v>0.44714290755135672</v>
      </c>
      <c r="AC21" s="8">
        <v>64.839629126094906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I21" s="8">
        <v>0</v>
      </c>
    </row>
    <row r="22" spans="1:35" ht="15" x14ac:dyDescent="0.25">
      <c r="A22" s="15" t="str">
        <f>IFERROR(RIGHT(IF(VLOOKUP(B22,Patterns!H:I,2,0)="NO_PATTERN","",VLOOKUP(B22,Patterns!H:I,2,0)),LEN(IF(VLOOKUP(B22,Patterns!H:I,2,0)="NO_PATTERN","",VLOOKUP(B22,Patterns!H:I,2,0)))-3),"")</f>
        <v>SHORTLINE_Bear</v>
      </c>
      <c r="B22" s="3" t="s">
        <v>100</v>
      </c>
      <c r="C22" s="26">
        <v>2.3599998950958252</v>
      </c>
      <c r="D22" s="8">
        <v>-1</v>
      </c>
      <c r="E22" s="7">
        <v>8.5470007094481382E-3</v>
      </c>
      <c r="F22" s="9">
        <v>2.3333333333333335</v>
      </c>
      <c r="G22" s="9">
        <v>1.0000079472935492</v>
      </c>
      <c r="H22" s="8">
        <v>-75.762177678492975</v>
      </c>
      <c r="I22" s="8">
        <v>21.578347878558766</v>
      </c>
      <c r="J22" s="7">
        <v>-2.8111389655979098E-2</v>
      </c>
      <c r="K22" s="7">
        <v>-0.11798252229890367</v>
      </c>
      <c r="L22" s="7">
        <v>-0.41446988980180816</v>
      </c>
      <c r="M22" s="8">
        <v>34.126338872004027</v>
      </c>
      <c r="N22" s="8">
        <v>44.156308895383127</v>
      </c>
      <c r="O22" s="8">
        <v>-87.097293943160494</v>
      </c>
      <c r="P22" s="8">
        <v>38.164234682183462</v>
      </c>
      <c r="Q22" s="9">
        <v>0.7348930366447175</v>
      </c>
      <c r="R22" s="9">
        <v>1.2118299099869119</v>
      </c>
      <c r="S22" s="8">
        <v>18.22943086689089</v>
      </c>
      <c r="T22" s="9">
        <v>0.18557108772965383</v>
      </c>
      <c r="U22" s="8">
        <v>-41.637095325581129</v>
      </c>
      <c r="V22" s="7">
        <v>-0.11825304113708825</v>
      </c>
      <c r="W22" s="7">
        <v>7.1642802897312341E-2</v>
      </c>
      <c r="X22" s="9">
        <v>0.7494009515573048</v>
      </c>
      <c r="Y22" s="9">
        <v>0.47082089194572341</v>
      </c>
      <c r="Z22" s="8">
        <v>27.546178960326735</v>
      </c>
      <c r="AA22" s="8">
        <v>-86.114241057796974</v>
      </c>
      <c r="AB22" s="6">
        <v>0.14857144015175955</v>
      </c>
      <c r="AC22" s="8">
        <v>58.067150222520326</v>
      </c>
      <c r="AD22" s="8">
        <v>0</v>
      </c>
      <c r="AE22" s="8">
        <v>0</v>
      </c>
      <c r="AF22" s="8">
        <v>0</v>
      </c>
      <c r="AG22" s="8">
        <v>0</v>
      </c>
      <c r="AH22" s="8">
        <v>-1</v>
      </c>
      <c r="AI22" s="8">
        <v>0</v>
      </c>
    </row>
    <row r="23" spans="1:35" ht="15" x14ac:dyDescent="0.25">
      <c r="A23" s="15" t="str">
        <f>IFERROR(RIGHT(IF(VLOOKUP(B23,Patterns!H:I,2,0)="NO_PATTERN","",VLOOKUP(B23,Patterns!H:I,2,0)),LEN(IF(VLOOKUP(B23,Patterns!H:I,2,0)="NO_PATTERN","",VLOOKUP(B23,Patterns!H:I,2,0)))-3),"")</f>
        <v>SHORTLINE_Bear</v>
      </c>
      <c r="B23" s="3" t="s">
        <v>248</v>
      </c>
      <c r="C23" s="26">
        <v>38.209999084472656</v>
      </c>
      <c r="D23" s="8">
        <v>-1</v>
      </c>
      <c r="E23" s="7">
        <v>-3.6803608567231527E-2</v>
      </c>
      <c r="F23" s="9">
        <v>9.0689274157480728</v>
      </c>
      <c r="G23" s="9">
        <v>6.8966878008997395E-2</v>
      </c>
      <c r="H23" s="8">
        <v>-77.015519879882092</v>
      </c>
      <c r="I23" s="8">
        <v>-50.791920105076279</v>
      </c>
      <c r="J23" s="7">
        <v>-3.780531167126755E-2</v>
      </c>
      <c r="K23" s="7">
        <v>-0.11793434996787211</v>
      </c>
      <c r="L23" s="7">
        <v>-0.13535400883396786</v>
      </c>
      <c r="M23" s="8">
        <v>33.748237731760227</v>
      </c>
      <c r="N23" s="8">
        <v>39.965894710605973</v>
      </c>
      <c r="O23" s="8">
        <v>-78.157393971922673</v>
      </c>
      <c r="P23" s="8">
        <v>22.512572076750953</v>
      </c>
      <c r="Q23" s="9">
        <v>0.40329451860266974</v>
      </c>
      <c r="R23" s="9">
        <v>-8.5914085914085891E-2</v>
      </c>
      <c r="S23" s="8">
        <v>-58.194380066364928</v>
      </c>
      <c r="T23" s="9">
        <v>0.1976582095055314</v>
      </c>
      <c r="U23" s="8">
        <v>48.838816645380803</v>
      </c>
      <c r="V23" s="7">
        <v>-0.1761727691734212</v>
      </c>
      <c r="W23" s="7">
        <v>3.5398077119632408E-2</v>
      </c>
      <c r="X23" s="9">
        <v>0.65363489172648503</v>
      </c>
      <c r="Y23" s="9">
        <v>0.60112293310359355</v>
      </c>
      <c r="Z23" s="8">
        <v>13.081734194208863</v>
      </c>
      <c r="AA23" s="8">
        <v>80.827174271164282</v>
      </c>
      <c r="AB23" s="6">
        <v>2.3292854854038785</v>
      </c>
      <c r="AC23" s="8">
        <v>65.041731848258991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v>0</v>
      </c>
    </row>
    <row r="24" spans="1:35" ht="15" x14ac:dyDescent="0.25">
      <c r="A24" s="15" t="str">
        <f>IFERROR(RIGHT(IF(VLOOKUP(B24,Patterns!H:I,2,0)="NO_PATTERN","",VLOOKUP(B24,Patterns!H:I,2,0)),LEN(IF(VLOOKUP(B24,Patterns!H:I,2,0)="NO_PATTERN","",VLOOKUP(B24,Patterns!H:I,2,0)))-3),"")</f>
        <v/>
      </c>
      <c r="B24" s="3" t="s">
        <v>239</v>
      </c>
      <c r="C24" s="26">
        <v>80.419998168945313</v>
      </c>
      <c r="D24" s="8">
        <v>0</v>
      </c>
      <c r="E24" s="7">
        <v>-1.3856589092894445E-2</v>
      </c>
      <c r="F24" s="9">
        <v>3.6607039461584048</v>
      </c>
      <c r="G24" s="9">
        <v>0</v>
      </c>
      <c r="H24" s="8">
        <v>-80.05959375238659</v>
      </c>
      <c r="I24" s="8">
        <v>67.782172968180717</v>
      </c>
      <c r="J24" s="7">
        <v>-1.623703079205821E-2</v>
      </c>
      <c r="K24" s="7">
        <v>-5.7704257586989202E-2</v>
      </c>
      <c r="L24" s="7">
        <v>5.3034556473935388E-2</v>
      </c>
      <c r="M24" s="8">
        <v>33.59047837642494</v>
      </c>
      <c r="N24" s="8">
        <v>46.085885632159091</v>
      </c>
      <c r="O24" s="8">
        <v>-87.269562459653372</v>
      </c>
      <c r="P24" s="8">
        <v>66.484980798981113</v>
      </c>
      <c r="Q24" s="9">
        <v>0.64432018476873498</v>
      </c>
      <c r="R24" s="9">
        <v>0.93411401364045821</v>
      </c>
      <c r="S24" s="8">
        <v>-76.725982073950689</v>
      </c>
      <c r="T24" s="9">
        <v>0.13995602791728026</v>
      </c>
      <c r="U24" s="8">
        <v>37.941968830685987</v>
      </c>
      <c r="V24" s="7">
        <v>-7.1927193558655289E-2</v>
      </c>
      <c r="W24" s="7">
        <v>6.8283792339963512E-2</v>
      </c>
      <c r="X24" s="9">
        <v>0.4798373871744917</v>
      </c>
      <c r="Y24" s="9">
        <v>0.44944373434053675</v>
      </c>
      <c r="Z24" s="8">
        <v>21.901406851737125</v>
      </c>
      <c r="AA24" s="8">
        <v>-83.593813406545507</v>
      </c>
      <c r="AB24" s="6">
        <v>3.8578583853585378</v>
      </c>
      <c r="AC24" s="8">
        <v>81.791605823408887</v>
      </c>
      <c r="AD24" s="8">
        <v>0</v>
      </c>
      <c r="AE24" s="8">
        <v>0</v>
      </c>
      <c r="AF24" s="8">
        <v>0</v>
      </c>
      <c r="AG24" s="8">
        <v>0</v>
      </c>
      <c r="AH24" s="8">
        <v>-1</v>
      </c>
      <c r="AI24" s="8">
        <v>0</v>
      </c>
    </row>
    <row r="25" spans="1:35" ht="15" x14ac:dyDescent="0.25">
      <c r="A25" s="15" t="str">
        <f>IFERROR(RIGHT(IF(VLOOKUP(B25,Patterns!H:I,2,0)="NO_PATTERN","",VLOOKUP(B25,Patterns!H:I,2,0)),LEN(IF(VLOOKUP(B25,Patterns!H:I,2,0)="NO_PATTERN","",VLOOKUP(B25,Patterns!H:I,2,0)))-3),"")</f>
        <v>RICKSHAWMAN_Bull</v>
      </c>
      <c r="B25" s="3" t="s">
        <v>225</v>
      </c>
      <c r="C25" s="26">
        <v>26.069999694824219</v>
      </c>
      <c r="D25" s="8">
        <v>1</v>
      </c>
      <c r="E25" s="7">
        <v>3.288430789352903E-2</v>
      </c>
      <c r="F25" s="9">
        <v>2.1411751506243757</v>
      </c>
      <c r="G25" s="9">
        <v>0</v>
      </c>
      <c r="H25" s="8">
        <v>-87.148459929352427</v>
      </c>
      <c r="I25" s="8">
        <v>-16.455349149997062</v>
      </c>
      <c r="J25" s="7">
        <v>-4.8662284003562761E-2</v>
      </c>
      <c r="K25" s="7">
        <v>-0.10337386759949145</v>
      </c>
      <c r="L25" s="7">
        <v>-0.10840406269231699</v>
      </c>
      <c r="M25" s="8">
        <v>32.802845520683817</v>
      </c>
      <c r="N25" s="8">
        <v>40.16569963923363</v>
      </c>
      <c r="O25" s="8">
        <v>-88.387189776765567</v>
      </c>
      <c r="P25" s="8">
        <v>39.433321131622513</v>
      </c>
      <c r="Q25" s="9">
        <v>2.3795629370629374</v>
      </c>
      <c r="R25" s="9">
        <v>4.0940957440500894</v>
      </c>
      <c r="S25" s="8">
        <v>-84.04804795616316</v>
      </c>
      <c r="T25" s="9">
        <v>0.17754292190834783</v>
      </c>
      <c r="U25" s="8">
        <v>76.452330038798294</v>
      </c>
      <c r="V25" s="7">
        <v>-0.15463232262904436</v>
      </c>
      <c r="W25" s="7">
        <v>3.365034608614062E-2</v>
      </c>
      <c r="X25" s="9">
        <v>0.62740012938767742</v>
      </c>
      <c r="Y25" s="9">
        <v>0.44402262396559627</v>
      </c>
      <c r="Z25" s="8">
        <v>23.912188029279172</v>
      </c>
      <c r="AA25" s="8">
        <v>-76.785454103425636</v>
      </c>
      <c r="AB25" s="6">
        <v>1.5928569521222795</v>
      </c>
      <c r="AC25" s="8">
        <v>83.750546722312194</v>
      </c>
      <c r="AD25" s="8">
        <v>0</v>
      </c>
      <c r="AE25" s="8">
        <v>0</v>
      </c>
      <c r="AF25" s="8">
        <v>0</v>
      </c>
      <c r="AG25" s="8">
        <v>0</v>
      </c>
      <c r="AH25" s="8">
        <v>0</v>
      </c>
      <c r="AI25" s="8">
        <v>0</v>
      </c>
    </row>
    <row r="26" spans="1:35" ht="15" x14ac:dyDescent="0.25">
      <c r="A26" s="15" t="str">
        <f>IFERROR(RIGHT(IF(VLOOKUP(B26,Patterns!H:I,2,0)="NO_PATTERN","",VLOOKUP(B26,Patterns!H:I,2,0)),LEN(IF(VLOOKUP(B26,Patterns!H:I,2,0)="NO_PATTERN","",VLOOKUP(B26,Patterns!H:I,2,0)))-3),"")</f>
        <v>HARAMI_Bull</v>
      </c>
      <c r="B26" s="3" t="s">
        <v>87</v>
      </c>
      <c r="C26" s="26">
        <v>76.080001831054688</v>
      </c>
      <c r="D26" s="8">
        <v>1</v>
      </c>
      <c r="E26" s="7">
        <v>1.2240528527396988E-2</v>
      </c>
      <c r="F26" s="9">
        <v>2.1275674739735514E-2</v>
      </c>
      <c r="G26" s="9">
        <v>0.72339999567127677</v>
      </c>
      <c r="H26" s="8">
        <v>-81.319968587453445</v>
      </c>
      <c r="I26" s="8">
        <v>1.0596608610600551</v>
      </c>
      <c r="J26" s="7">
        <v>-2.0313909903423664E-2</v>
      </c>
      <c r="K26" s="7">
        <v>-9.5101327262542473E-2</v>
      </c>
      <c r="L26" s="7">
        <v>-0.11621608295842756</v>
      </c>
      <c r="M26" s="8">
        <v>32.562128886571898</v>
      </c>
      <c r="N26" s="8">
        <v>39.585951006361022</v>
      </c>
      <c r="O26" s="8">
        <v>-87.096680720137726</v>
      </c>
      <c r="P26" s="8">
        <v>37.809841795163017</v>
      </c>
      <c r="Q26" s="9">
        <v>0.24849909742554122</v>
      </c>
      <c r="R26" s="9">
        <v>0.16970813214860048</v>
      </c>
      <c r="S26" s="8">
        <v>-80.198985141252336</v>
      </c>
      <c r="T26" s="9">
        <v>0.10764796656127773</v>
      </c>
      <c r="U26" s="8">
        <v>17.257422306613051</v>
      </c>
      <c r="V26" s="7">
        <v>-7.6138757840499033E-2</v>
      </c>
      <c r="W26" s="7">
        <v>3.378865969528036E-2</v>
      </c>
      <c r="X26" s="9">
        <v>0.3257893236669625</v>
      </c>
      <c r="Y26" s="9">
        <v>0.33279470872183547</v>
      </c>
      <c r="Z26" s="8">
        <v>30.84021158567861</v>
      </c>
      <c r="AA26" s="8">
        <v>-73.789427439423974</v>
      </c>
      <c r="AB26" s="6">
        <v>2.3528573172433034</v>
      </c>
      <c r="AC26" s="8">
        <v>20.38069148751141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I26" s="8">
        <v>0</v>
      </c>
    </row>
    <row r="27" spans="1:35" ht="15" x14ac:dyDescent="0.25">
      <c r="A27" s="15" t="str">
        <f>IFERROR(RIGHT(IF(VLOOKUP(B27,Patterns!H:I,2,0)="NO_PATTERN","",VLOOKUP(B27,Patterns!H:I,2,0)),LEN(IF(VLOOKUP(B27,Patterns!H:I,2,0)="NO_PATTERN","",VLOOKUP(B27,Patterns!H:I,2,0)))-3),"")</f>
        <v/>
      </c>
      <c r="B27" s="3" t="s">
        <v>233</v>
      </c>
      <c r="C27" s="26">
        <v>13.090000152587891</v>
      </c>
      <c r="D27" s="8">
        <v>0</v>
      </c>
      <c r="E27" s="7">
        <v>2.1857901935929069E-2</v>
      </c>
      <c r="F27" s="9">
        <v>0.6585379469477759</v>
      </c>
      <c r="G27" s="9">
        <v>0</v>
      </c>
      <c r="H27" s="8">
        <v>-87.293176880612549</v>
      </c>
      <c r="I27" s="8">
        <v>-84.596394276313248</v>
      </c>
      <c r="J27" s="7">
        <v>-4.8670201059218085E-2</v>
      </c>
      <c r="K27" s="7">
        <v>-6.2774344520865499E-2</v>
      </c>
      <c r="L27" s="7">
        <v>-1.7042289329100662E-2</v>
      </c>
      <c r="M27" s="8">
        <v>31.401660229945676</v>
      </c>
      <c r="N27" s="8">
        <v>34.294556018421204</v>
      </c>
      <c r="O27" s="8">
        <v>-85.760865785487894</v>
      </c>
      <c r="P27" s="8">
        <v>3.8028393134145824</v>
      </c>
      <c r="Q27" s="9">
        <v>0.37865250951765583</v>
      </c>
      <c r="R27" s="9">
        <v>0.38588957249076516</v>
      </c>
      <c r="S27" s="8">
        <v>-84.30781791954729</v>
      </c>
      <c r="T27" s="9">
        <v>0.28030089344019848</v>
      </c>
      <c r="U27" s="8">
        <v>87.683183088924963</v>
      </c>
      <c r="V27" s="7">
        <v>-0.27607133913480114</v>
      </c>
      <c r="W27" s="7">
        <v>3.7645098447514437E-2</v>
      </c>
      <c r="X27" s="9">
        <v>0.54230902428003291</v>
      </c>
      <c r="Y27" s="9">
        <v>0.31665099688949622</v>
      </c>
      <c r="Z27" s="8">
        <v>25.24037931415122</v>
      </c>
      <c r="AA27" s="8">
        <v>-56.567551219612874</v>
      </c>
      <c r="AB27" s="6">
        <v>0.56357145309448242</v>
      </c>
      <c r="AC27" s="8">
        <v>-72.948773602605755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I27" s="8">
        <v>0</v>
      </c>
    </row>
    <row r="28" spans="1:35" ht="15" x14ac:dyDescent="0.25">
      <c r="A28" s="15" t="str">
        <f>IFERROR(RIGHT(IF(VLOOKUP(B28,Patterns!H:I,2,0)="NO_PATTERN","",VLOOKUP(B28,Patterns!H:I,2,0)),LEN(IF(VLOOKUP(B28,Patterns!H:I,2,0)="NO_PATTERN","",VLOOKUP(B28,Patterns!H:I,2,0)))-3),"")</f>
        <v>RICKSHAWMAN_Bull</v>
      </c>
      <c r="B28" s="3" t="s">
        <v>119</v>
      </c>
      <c r="C28" s="26">
        <v>21.569999694824219</v>
      </c>
      <c r="D28" s="8">
        <v>1</v>
      </c>
      <c r="E28" s="7">
        <v>9.3588604462588876E-3</v>
      </c>
      <c r="F28" s="9">
        <v>1.0000228881835938E-2</v>
      </c>
      <c r="G28" s="9">
        <v>0.40999984741210938</v>
      </c>
      <c r="H28" s="8">
        <v>-86.17323883053281</v>
      </c>
      <c r="I28" s="8">
        <v>-72.961161164200661</v>
      </c>
      <c r="J28" s="7">
        <v>-2.8158735889767118E-2</v>
      </c>
      <c r="K28" s="7">
        <v>-0.12025074036805512</v>
      </c>
      <c r="L28" s="7">
        <v>-0.15877456021969816</v>
      </c>
      <c r="M28" s="8">
        <v>28.833957076780379</v>
      </c>
      <c r="N28" s="8">
        <v>30.989761728759532</v>
      </c>
      <c r="O28" s="8">
        <v>-86.196787157845662</v>
      </c>
      <c r="P28" s="8">
        <v>16.970961229682697</v>
      </c>
      <c r="Q28" s="9">
        <v>0.54830136436021415</v>
      </c>
      <c r="R28" s="9">
        <v>0.4737556880855156</v>
      </c>
      <c r="S28" s="8">
        <v>-82.837872208138222</v>
      </c>
      <c r="T28" s="9">
        <v>0.18450241201811779</v>
      </c>
      <c r="U28" s="8">
        <v>-84.787271854785828</v>
      </c>
      <c r="V28" s="7">
        <v>-0.16162461170682621</v>
      </c>
      <c r="W28" s="7">
        <v>3.4596313974386922E-2</v>
      </c>
      <c r="X28" s="9">
        <v>0.33062669881699863</v>
      </c>
      <c r="Y28" s="9">
        <v>0.32547906152374906</v>
      </c>
      <c r="Z28" s="8">
        <v>36.886765925576142</v>
      </c>
      <c r="AA28" s="8">
        <v>86.577384866338491</v>
      </c>
      <c r="AB28" s="6">
        <v>0.85499967847551617</v>
      </c>
      <c r="AC28" s="8">
        <v>73.661962307238511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</row>
    <row r="29" spans="1:35" ht="15" x14ac:dyDescent="0.25">
      <c r="A29" s="15" t="str">
        <f>IFERROR(RIGHT(IF(VLOOKUP(B29,Patterns!H:I,2,0)="NO_PATTERN","",VLOOKUP(B29,Patterns!H:I,2,0)),LEN(IF(VLOOKUP(B29,Patterns!H:I,2,0)="NO_PATTERN","",VLOOKUP(B29,Patterns!H:I,2,0)))-3),"")</f>
        <v>CLOSINGMARUBOZU_Bull</v>
      </c>
      <c r="B29" s="3" t="s">
        <v>90</v>
      </c>
      <c r="C29" s="26">
        <v>20.450000762939453</v>
      </c>
      <c r="D29" s="8">
        <v>1</v>
      </c>
      <c r="E29" s="7">
        <v>-3.7647022920496376E-2</v>
      </c>
      <c r="F29" s="9">
        <v>1.0137015650719829</v>
      </c>
      <c r="G29" s="9">
        <v>0</v>
      </c>
      <c r="H29" s="8">
        <v>-79.505951098445564</v>
      </c>
      <c r="I29" s="8">
        <v>30.323555681217012</v>
      </c>
      <c r="J29" s="7">
        <v>-2.6215986567018745E-2</v>
      </c>
      <c r="K29" s="7">
        <v>-5.6827863079536613E-2</v>
      </c>
      <c r="L29" s="7">
        <v>-0.11001052821967053</v>
      </c>
      <c r="M29" s="8">
        <v>28.775854130756741</v>
      </c>
      <c r="N29" s="8">
        <v>44.120871356094099</v>
      </c>
      <c r="O29" s="8">
        <v>-86.849637526239803</v>
      </c>
      <c r="P29" s="8">
        <v>73.32776078868973</v>
      </c>
      <c r="Q29" s="9">
        <v>0.55248741468515639</v>
      </c>
      <c r="R29" s="9">
        <v>0.44859245030594708</v>
      </c>
      <c r="S29" s="8">
        <v>-83.138451998148028</v>
      </c>
      <c r="T29" s="9">
        <v>8.3964625407550772E-2</v>
      </c>
      <c r="U29" s="8">
        <v>-79.833128324077336</v>
      </c>
      <c r="V29" s="7">
        <v>-6.3508052524536257E-2</v>
      </c>
      <c r="W29" s="7">
        <v>2.2191151923977952E-2</v>
      </c>
      <c r="X29" s="9">
        <v>0.41739061399500538</v>
      </c>
      <c r="Y29" s="9">
        <v>0.34419568457497229</v>
      </c>
      <c r="Z29" s="8">
        <v>18.61558770569167</v>
      </c>
      <c r="AA29" s="8">
        <v>46.444122467569983</v>
      </c>
      <c r="AB29" s="6">
        <v>0.79364504132952007</v>
      </c>
      <c r="AC29" s="8">
        <v>76.011701539939281</v>
      </c>
      <c r="AD29" s="8">
        <v>0</v>
      </c>
      <c r="AE29" s="8">
        <v>0</v>
      </c>
      <c r="AF29" s="8">
        <v>0</v>
      </c>
      <c r="AG29" s="8">
        <v>0</v>
      </c>
      <c r="AH29" s="8">
        <v>-1</v>
      </c>
      <c r="AI29" s="8">
        <v>0</v>
      </c>
    </row>
    <row r="30" spans="1:35" ht="15" x14ac:dyDescent="0.25">
      <c r="A30" s="15" t="str">
        <f>IFERROR(RIGHT(IF(VLOOKUP(B30,Patterns!H:I,2,0)="NO_PATTERN","",VLOOKUP(B30,Patterns!H:I,2,0)),LEN(IF(VLOOKUP(B30,Patterns!H:I,2,0)="NO_PATTERN","",VLOOKUP(B30,Patterns!H:I,2,0)))-3),"")</f>
        <v>RICKSHAWMAN_Bull</v>
      </c>
      <c r="B30" s="3" t="s">
        <v>171</v>
      </c>
      <c r="C30" s="26">
        <v>16.639999389648438</v>
      </c>
      <c r="D30" s="8">
        <v>1</v>
      </c>
      <c r="E30" s="7">
        <v>5.438075935759068E-3</v>
      </c>
      <c r="F30" s="9">
        <v>1.9615339471078017</v>
      </c>
      <c r="G30" s="9">
        <v>0.69230825661152473</v>
      </c>
      <c r="H30" s="8">
        <v>-81.045827564507647</v>
      </c>
      <c r="I30" s="8">
        <v>-2.5101774283260996</v>
      </c>
      <c r="J30" s="7">
        <v>-3.1668682707289342E-2</v>
      </c>
      <c r="K30" s="7">
        <v>-0.14565713800037186</v>
      </c>
      <c r="L30" s="7">
        <v>-0.39877262787206652</v>
      </c>
      <c r="M30" s="8">
        <v>28.734384275981654</v>
      </c>
      <c r="N30" s="8">
        <v>37.158598625895678</v>
      </c>
      <c r="O30" s="8">
        <v>-87.017198792244884</v>
      </c>
      <c r="P30" s="8">
        <v>37.258097839472214</v>
      </c>
      <c r="Q30" s="9">
        <v>0.97417683764373453</v>
      </c>
      <c r="R30" s="9">
        <v>1.0809004659936337</v>
      </c>
      <c r="S30" s="8">
        <v>-57.620410570464294</v>
      </c>
      <c r="T30" s="9">
        <v>0.14672961341329982</v>
      </c>
      <c r="U30" s="8">
        <v>-84.295553161124928</v>
      </c>
      <c r="V30" s="7">
        <v>-0.12719434423872911</v>
      </c>
      <c r="W30" s="7">
        <v>2.6893799268857037E-2</v>
      </c>
      <c r="X30" s="9">
        <v>0.4703130918248879</v>
      </c>
      <c r="Y30" s="9">
        <v>0.36404579115101765</v>
      </c>
      <c r="Z30" s="8">
        <v>26.956407413048225</v>
      </c>
      <c r="AA30" s="8">
        <v>-35.616853781804444</v>
      </c>
      <c r="AB30" s="6">
        <v>0.78999989373343327</v>
      </c>
      <c r="AC30" s="8">
        <v>69.253310741504862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</row>
    <row r="31" spans="1:35" ht="15" x14ac:dyDescent="0.25">
      <c r="A31" s="15" t="str">
        <f>IFERROR(RIGHT(IF(VLOOKUP(B31,Patterns!H:I,2,0)="NO_PATTERN","",VLOOKUP(B31,Patterns!H:I,2,0)),LEN(IF(VLOOKUP(B31,Patterns!H:I,2,0)="NO_PATTERN","",VLOOKUP(B31,Patterns!H:I,2,0)))-3),"")</f>
        <v>3INSIDE_Bull</v>
      </c>
      <c r="B31" s="3" t="s">
        <v>95</v>
      </c>
      <c r="C31" s="26">
        <v>5.0100002288818359</v>
      </c>
      <c r="D31" s="8">
        <v>1</v>
      </c>
      <c r="E31" s="7">
        <v>-7.9207842261895811E-3</v>
      </c>
      <c r="F31" s="9">
        <v>11.999713904253291</v>
      </c>
      <c r="G31" s="9">
        <v>2.4999284760633227</v>
      </c>
      <c r="H31" s="8">
        <v>-32.557762807533031</v>
      </c>
      <c r="I31" s="8">
        <v>17.800224907593101</v>
      </c>
      <c r="J31" s="7">
        <v>-1.5528497673866415E-2</v>
      </c>
      <c r="K31" s="7">
        <v>-3.3535008038213535E-2</v>
      </c>
      <c r="L31" s="7">
        <v>-0.27139578306214135</v>
      </c>
      <c r="M31" s="8">
        <v>28.676039194106721</v>
      </c>
      <c r="N31" s="8">
        <v>46.879446159356107</v>
      </c>
      <c r="O31" s="8">
        <v>-87.436627717521688</v>
      </c>
      <c r="P31" s="8">
        <v>65.839095512182595</v>
      </c>
      <c r="Q31" s="9">
        <v>0.87062281983405132</v>
      </c>
      <c r="R31" s="9">
        <v>1.2893813340558555</v>
      </c>
      <c r="S31" s="8">
        <v>-77.244932312749484</v>
      </c>
      <c r="T31" s="9">
        <v>0.12825616885577301</v>
      </c>
      <c r="U31" s="8">
        <v>17.089250507197242</v>
      </c>
      <c r="V31" s="7">
        <v>-5.9986224561291414E-2</v>
      </c>
      <c r="W31" s="7">
        <v>6.7770738337792111E-2</v>
      </c>
      <c r="X31" s="9">
        <v>0.3850884424481904</v>
      </c>
      <c r="Y31" s="9">
        <v>0.43662752390192305</v>
      </c>
      <c r="Z31" s="8">
        <v>17.694724005383925</v>
      </c>
      <c r="AA31" s="8">
        <v>-73.120708611311017</v>
      </c>
      <c r="AB31" s="6">
        <v>0.20142844745091029</v>
      </c>
      <c r="AC31" s="8">
        <v>41.071401122246868</v>
      </c>
      <c r="AD31" s="8">
        <v>0</v>
      </c>
      <c r="AE31" s="8">
        <v>0</v>
      </c>
      <c r="AF31" s="8">
        <v>0</v>
      </c>
      <c r="AG31" s="8">
        <v>0</v>
      </c>
      <c r="AH31" s="8">
        <v>-1</v>
      </c>
      <c r="AI31" s="8">
        <v>0</v>
      </c>
    </row>
    <row r="32" spans="1:35" ht="15" x14ac:dyDescent="0.25">
      <c r="A32" s="15" t="str">
        <f>IFERROR(RIGHT(IF(VLOOKUP(B32,Patterns!H:I,2,0)="NO_PATTERN","",VLOOKUP(B32,Patterns!H:I,2,0)),LEN(IF(VLOOKUP(B32,Patterns!H:I,2,0)="NO_PATTERN","",VLOOKUP(B32,Patterns!H:I,2,0)))-3),"")</f>
        <v>LONGLINE_Bull</v>
      </c>
      <c r="B32" s="3" t="s">
        <v>336</v>
      </c>
      <c r="C32" s="6">
        <v>34.720001220703125</v>
      </c>
      <c r="D32" s="8">
        <v>1</v>
      </c>
      <c r="E32" s="7">
        <v>-2.0592370282809469E-2</v>
      </c>
      <c r="F32" s="9">
        <v>3.4418569578254465</v>
      </c>
      <c r="G32" s="9">
        <v>4.6503788080410211E-2</v>
      </c>
      <c r="H32" s="8">
        <v>-80.018242924411709</v>
      </c>
      <c r="I32" s="8">
        <v>-58.93402561800152</v>
      </c>
      <c r="J32" s="7">
        <v>-2.9933425592658647E-2</v>
      </c>
      <c r="K32" s="7">
        <v>-7.3142177662948657E-2</v>
      </c>
      <c r="L32" s="7">
        <v>-9.1466498884410163E-2</v>
      </c>
      <c r="M32" s="8">
        <v>28.623963731568381</v>
      </c>
      <c r="N32" s="8">
        <v>40.788932717553465</v>
      </c>
      <c r="O32" s="8">
        <v>-82.630768468851016</v>
      </c>
      <c r="P32" s="8">
        <v>29.282073683640775</v>
      </c>
      <c r="Q32" s="9">
        <v>-1.8573274006028373E-2</v>
      </c>
      <c r="R32" s="9">
        <v>3.0030505027680565E-2</v>
      </c>
      <c r="S32" s="8">
        <v>-85.26481923420684</v>
      </c>
      <c r="T32" s="7">
        <v>8.1275773901305831E-2</v>
      </c>
      <c r="U32" s="6">
        <v>-58.841688285869843</v>
      </c>
      <c r="V32" s="7">
        <v>-8.202958121506175E-2</v>
      </c>
      <c r="W32" s="7">
        <v>2.4789617662589478E-3</v>
      </c>
      <c r="X32" s="9">
        <v>0.43820318482337794</v>
      </c>
      <c r="Y32" s="9">
        <v>0.35803067706300828</v>
      </c>
      <c r="Z32" s="8">
        <v>15.180600140876978</v>
      </c>
      <c r="AA32" s="8">
        <v>-80.425372475505426</v>
      </c>
      <c r="AB32" s="6">
        <v>1.3964287894112724</v>
      </c>
      <c r="AC32" s="8">
        <v>78.612948063376649</v>
      </c>
      <c r="AD32" s="8">
        <v>0</v>
      </c>
      <c r="AE32" s="8">
        <v>0</v>
      </c>
      <c r="AF32" s="8">
        <v>0</v>
      </c>
      <c r="AG32" s="8">
        <v>-1</v>
      </c>
      <c r="AH32" s="8">
        <v>0</v>
      </c>
      <c r="AI32" s="8">
        <v>0</v>
      </c>
    </row>
    <row r="33" spans="1:35" ht="15" x14ac:dyDescent="0.25">
      <c r="A33" s="15" t="str">
        <f>IFERROR(RIGHT(IF(VLOOKUP(B33,Patterns!H:I,2,0)="NO_PATTERN","",VLOOKUP(B33,Patterns!H:I,2,0)),LEN(IF(VLOOKUP(B33,Patterns!H:I,2,0)="NO_PATTERN","",VLOOKUP(B33,Patterns!H:I,2,0)))-3),"")</f>
        <v/>
      </c>
      <c r="B33" s="3" t="s">
        <v>107</v>
      </c>
      <c r="C33" s="26">
        <v>38.889999389648438</v>
      </c>
      <c r="D33" s="8">
        <v>0</v>
      </c>
      <c r="E33" s="7">
        <v>-1.1689939067600741E-2</v>
      </c>
      <c r="F33" s="9">
        <v>2.9210359885559405</v>
      </c>
      <c r="G33" s="9">
        <v>1.3947297093811173</v>
      </c>
      <c r="H33" s="8">
        <v>-76.043472219180913</v>
      </c>
      <c r="I33" s="8">
        <v>64.765925967010773</v>
      </c>
      <c r="J33" s="7">
        <v>-1.5547822263090334E-2</v>
      </c>
      <c r="K33" s="7">
        <v>1.3601570771984654E-2</v>
      </c>
      <c r="L33" s="7">
        <v>6.9960587587393666E-2</v>
      </c>
      <c r="M33" s="8">
        <v>28.391093845300446</v>
      </c>
      <c r="N33" s="8">
        <v>45.728857918369798</v>
      </c>
      <c r="O33" s="8">
        <v>-86.784066522254236</v>
      </c>
      <c r="P33" s="8">
        <v>68.565344051294815</v>
      </c>
      <c r="Q33" s="9">
        <v>0.63723828507166491</v>
      </c>
      <c r="R33" s="9">
        <v>0.6656367600991655</v>
      </c>
      <c r="S33" s="8">
        <v>-70.422031011481977</v>
      </c>
      <c r="T33" s="9">
        <v>0.11616948824545614</v>
      </c>
      <c r="U33" s="8">
        <v>-39.21596208102946</v>
      </c>
      <c r="V33" s="7">
        <v>-7.5414719588310322E-2</v>
      </c>
      <c r="W33" s="7">
        <v>4.265746538566937E-2</v>
      </c>
      <c r="X33" s="9">
        <v>0.32152528321119528</v>
      </c>
      <c r="Y33" s="9">
        <v>0.37070845437494815</v>
      </c>
      <c r="Z33" s="8">
        <v>14.602178072533414</v>
      </c>
      <c r="AA33" s="8">
        <v>-81.366986762870411</v>
      </c>
      <c r="AB33" s="6">
        <v>1.5064288548060827</v>
      </c>
      <c r="AC33" s="8">
        <v>83.652497425631623</v>
      </c>
      <c r="AD33" s="8">
        <v>0</v>
      </c>
      <c r="AE33" s="8">
        <v>0</v>
      </c>
      <c r="AF33" s="8">
        <v>0</v>
      </c>
      <c r="AG33" s="8">
        <v>0</v>
      </c>
      <c r="AH33" s="8">
        <v>-1</v>
      </c>
      <c r="AI33" s="8">
        <v>0</v>
      </c>
    </row>
    <row r="34" spans="1:35" ht="15" x14ac:dyDescent="0.25">
      <c r="A34" s="15" t="str">
        <f>IFERROR(RIGHT(IF(VLOOKUP(B34,Patterns!H:I,2,0)="NO_PATTERN","",VLOOKUP(B34,Patterns!H:I,2,0)),LEN(IF(VLOOKUP(B34,Patterns!H:I,2,0)="NO_PATTERN","",VLOOKUP(B34,Patterns!H:I,2,0)))-3),"")</f>
        <v>ONNECK_Bear</v>
      </c>
      <c r="B34" s="3" t="s">
        <v>150</v>
      </c>
      <c r="C34" s="26">
        <v>37.869998931884766</v>
      </c>
      <c r="D34" s="8">
        <v>-1</v>
      </c>
      <c r="E34" s="7">
        <v>-1.7639437578044204E-2</v>
      </c>
      <c r="F34" s="9">
        <v>2.1764633284340675</v>
      </c>
      <c r="G34" s="9">
        <v>0.44118076047077831</v>
      </c>
      <c r="H34" s="8">
        <v>-75.229160976519822</v>
      </c>
      <c r="I34" s="8">
        <v>73.195195453947889</v>
      </c>
      <c r="J34" s="7">
        <v>-1.1193026777378977E-2</v>
      </c>
      <c r="K34" s="7">
        <v>-4.9100806330355327E-3</v>
      </c>
      <c r="L34" s="7">
        <v>-1.2717396248220936E-2</v>
      </c>
      <c r="M34" s="8">
        <v>27.578277144919284</v>
      </c>
      <c r="N34" s="8">
        <v>44.859897599438483</v>
      </c>
      <c r="O34" s="8">
        <v>-87.682686540836897</v>
      </c>
      <c r="P34" s="8">
        <v>72.262179310337402</v>
      </c>
      <c r="Q34" s="9">
        <v>0.48949477775078942</v>
      </c>
      <c r="R34" s="9">
        <v>0.64667814621997111</v>
      </c>
      <c r="S34" s="8">
        <v>-83.028701730397074</v>
      </c>
      <c r="T34" s="9">
        <v>5.6474148612632252E-2</v>
      </c>
      <c r="U34" s="8">
        <v>-47.086862245606163</v>
      </c>
      <c r="V34" s="7">
        <v>-3.0802940572135243E-2</v>
      </c>
      <c r="W34" s="7">
        <v>2.5812133821561428E-2</v>
      </c>
      <c r="X34" s="9">
        <v>0.154901018822306</v>
      </c>
      <c r="Y34" s="9">
        <v>0.21906667653239131</v>
      </c>
      <c r="Z34" s="8">
        <v>15.077268328518063</v>
      </c>
      <c r="AA34" s="8">
        <v>-80.748634032785162</v>
      </c>
      <c r="AB34" s="6">
        <v>0.84357098170689171</v>
      </c>
      <c r="AC34" s="8">
        <v>70.100948639853144</v>
      </c>
      <c r="AD34" s="8">
        <v>0</v>
      </c>
      <c r="AE34" s="8">
        <v>0</v>
      </c>
      <c r="AF34" s="8">
        <v>0</v>
      </c>
      <c r="AG34" s="8">
        <v>0</v>
      </c>
      <c r="AH34" s="8">
        <v>-1</v>
      </c>
      <c r="AI34" s="8">
        <v>0</v>
      </c>
    </row>
    <row r="35" spans="1:35" ht="15" x14ac:dyDescent="0.25">
      <c r="A35" s="15" t="str">
        <f>IFERROR(RIGHT(IF(VLOOKUP(B35,Patterns!H:I,2,0)="NO_PATTERN","",VLOOKUP(B35,Patterns!H:I,2,0)),LEN(IF(VLOOKUP(B35,Patterns!H:I,2,0)="NO_PATTERN","",VLOOKUP(B35,Patterns!H:I,2,0)))-3),"")</f>
        <v>LONGLEGGEDDOJI_Bull</v>
      </c>
      <c r="B35" s="3" t="s">
        <v>98</v>
      </c>
      <c r="C35" s="26">
        <v>5.4099998474121094</v>
      </c>
      <c r="D35" s="8">
        <v>1</v>
      </c>
      <c r="E35" s="7">
        <v>-4.5855418938861581E-2</v>
      </c>
      <c r="F35" s="9">
        <v>1.769229358471188</v>
      </c>
      <c r="G35" s="9">
        <v>0.61538348677695043</v>
      </c>
      <c r="H35" s="8">
        <v>-74.990862991969991</v>
      </c>
      <c r="I35" s="8">
        <v>57.808488411968767</v>
      </c>
      <c r="J35" s="7">
        <v>-3.9272557892503814E-2</v>
      </c>
      <c r="K35" s="7">
        <v>-0.18387233771617498</v>
      </c>
      <c r="L35" s="7">
        <v>-1.6374634695843868</v>
      </c>
      <c r="M35" s="8">
        <v>27.315458843699233</v>
      </c>
      <c r="N35" s="8">
        <v>48.502867780239086</v>
      </c>
      <c r="O35" s="8">
        <v>-88.671144977429122</v>
      </c>
      <c r="P35" s="8">
        <v>79.35729569955727</v>
      </c>
      <c r="Q35" s="9">
        <v>4.8988062421770451E-2</v>
      </c>
      <c r="R35" s="9">
        <v>0.21459666814774669</v>
      </c>
      <c r="S35" s="8">
        <v>-87.087484092897867</v>
      </c>
      <c r="T35" s="9">
        <v>0.41226100647343683</v>
      </c>
      <c r="U35" s="8">
        <v>80.711858731304702</v>
      </c>
      <c r="V35" s="7">
        <v>-0.16466281728338988</v>
      </c>
      <c r="W35" s="7">
        <v>0.23342434158287106</v>
      </c>
      <c r="X35" s="9">
        <v>0.95991523260422951</v>
      </c>
      <c r="Y35" s="9">
        <v>1.0642093919417714</v>
      </c>
      <c r="Z35" s="8">
        <v>34.555985793828469</v>
      </c>
      <c r="AA35" s="8">
        <v>-83.268397933130032</v>
      </c>
      <c r="AB35" s="6">
        <v>0.40642850739615305</v>
      </c>
      <c r="AC35" s="8">
        <v>57.949794018983006</v>
      </c>
      <c r="AD35" s="8">
        <v>0</v>
      </c>
      <c r="AE35" s="8">
        <v>0</v>
      </c>
      <c r="AF35" s="8">
        <v>0</v>
      </c>
      <c r="AG35" s="8">
        <v>0</v>
      </c>
      <c r="AH35" s="8">
        <v>-1</v>
      </c>
      <c r="AI35" s="8">
        <v>0</v>
      </c>
    </row>
    <row r="36" spans="1:35" ht="15" x14ac:dyDescent="0.25">
      <c r="A36" s="15" t="str">
        <f>IFERROR(RIGHT(IF(VLOOKUP(B36,Patterns!H:I,2,0)="NO_PATTERN","",VLOOKUP(B36,Patterns!H:I,2,0)),LEN(IF(VLOOKUP(B36,Patterns!H:I,2,0)="NO_PATTERN","",VLOOKUP(B36,Patterns!H:I,2,0)))-3),"")</f>
        <v>SPINNINGTOP_Bear</v>
      </c>
      <c r="B36" s="3" t="s">
        <v>209</v>
      </c>
      <c r="C36" s="26">
        <v>39.880001068115234</v>
      </c>
      <c r="D36" s="8">
        <v>-1</v>
      </c>
      <c r="E36" s="7">
        <v>1.2439748313262777E-2</v>
      </c>
      <c r="F36" s="9">
        <v>1.8865935189554821</v>
      </c>
      <c r="G36" s="9">
        <v>1.154636621047664</v>
      </c>
      <c r="H36" s="8">
        <v>-83.114322897932041</v>
      </c>
      <c r="I36" s="8">
        <v>-77.644645359309649</v>
      </c>
      <c r="J36" s="7">
        <v>-4.4294430864164722E-2</v>
      </c>
      <c r="K36" s="7">
        <v>-0.18587521733236542</v>
      </c>
      <c r="L36" s="7">
        <v>-0.25665104128767002</v>
      </c>
      <c r="M36" s="8">
        <v>26.655721448315617</v>
      </c>
      <c r="N36" s="8">
        <v>26.228784472185382</v>
      </c>
      <c r="O36" s="8">
        <v>-84.791427055405293</v>
      </c>
      <c r="P36" s="8">
        <v>9.5608919966401071</v>
      </c>
      <c r="Q36" s="9">
        <v>0.5427014879550347</v>
      </c>
      <c r="R36" s="9">
        <v>0.71788686399849522</v>
      </c>
      <c r="S36" s="8">
        <v>-86.770051878860428</v>
      </c>
      <c r="T36" s="9">
        <v>0.20842097982050314</v>
      </c>
      <c r="U36" s="8">
        <v>83.076141636318056</v>
      </c>
      <c r="V36" s="7">
        <v>-0.21377316529096502</v>
      </c>
      <c r="W36" s="7">
        <v>1.5327893521053623E-2</v>
      </c>
      <c r="X36" s="9">
        <v>0.36544268483371056</v>
      </c>
      <c r="Y36" s="9">
        <v>0.33635593842487616</v>
      </c>
      <c r="Z36" s="8">
        <v>47.406447385779622</v>
      </c>
      <c r="AA36" s="8">
        <v>85.256063363950233</v>
      </c>
      <c r="AB36" s="6">
        <v>1.8221421922956194</v>
      </c>
      <c r="AC36" s="8">
        <v>84.362227302277745</v>
      </c>
      <c r="AD36" s="8">
        <v>0</v>
      </c>
      <c r="AE36" s="8">
        <v>0</v>
      </c>
      <c r="AF36" s="8">
        <v>0</v>
      </c>
      <c r="AG36" s="8">
        <v>0</v>
      </c>
      <c r="AH36" s="8">
        <v>0</v>
      </c>
      <c r="AI36" s="8">
        <v>0</v>
      </c>
    </row>
    <row r="37" spans="1:35" ht="15" x14ac:dyDescent="0.25">
      <c r="A37" s="15" t="str">
        <f>IFERROR(RIGHT(IF(VLOOKUP(B37,Patterns!H:I,2,0)="NO_PATTERN","",VLOOKUP(B37,Patterns!H:I,2,0)),LEN(IF(VLOOKUP(B37,Patterns!H:I,2,0)="NO_PATTERN","",VLOOKUP(B37,Patterns!H:I,2,0)))-3),"")</f>
        <v>ENGULFING_Bear</v>
      </c>
      <c r="B37" s="3" t="s">
        <v>102</v>
      </c>
      <c r="C37" s="26">
        <v>37.319999694824219</v>
      </c>
      <c r="D37" s="8">
        <v>-1</v>
      </c>
      <c r="E37" s="7">
        <v>-1.8721501997027712E-3</v>
      </c>
      <c r="F37" s="9">
        <v>0.65573329664557123</v>
      </c>
      <c r="G37" s="9">
        <v>0.73770543062260796</v>
      </c>
      <c r="H37" s="8">
        <v>-79.913741900611058</v>
      </c>
      <c r="I37" s="8">
        <v>45.914677874757857</v>
      </c>
      <c r="J37" s="7">
        <v>-8.4846701279054151E-3</v>
      </c>
      <c r="K37" s="7">
        <v>7.1535498580484636E-2</v>
      </c>
      <c r="L37" s="7">
        <v>0.20288237042124049</v>
      </c>
      <c r="M37" s="8">
        <v>26.252160536131413</v>
      </c>
      <c r="N37" s="8">
        <v>54.701558819123363</v>
      </c>
      <c r="O37" s="8">
        <v>-87.825911597493828</v>
      </c>
      <c r="P37" s="8">
        <v>65.17040973136271</v>
      </c>
      <c r="Q37" s="9">
        <v>-0.26862864228146321</v>
      </c>
      <c r="R37" s="9">
        <v>-0.1689090655473694</v>
      </c>
      <c r="S37" s="8">
        <v>-75.485962354263805</v>
      </c>
      <c r="T37" s="9">
        <v>0.10799072807360006</v>
      </c>
      <c r="U37" s="8">
        <v>-87.327522258585674</v>
      </c>
      <c r="V37" s="7">
        <v>-5.0338027335319391E-2</v>
      </c>
      <c r="W37" s="7">
        <v>5.7277975699936576E-2</v>
      </c>
      <c r="X37" s="9">
        <v>0.3256959586127558</v>
      </c>
      <c r="Y37" s="9">
        <v>0.30647313583564278</v>
      </c>
      <c r="Z37" s="8">
        <v>41.827341940941096</v>
      </c>
      <c r="AA37" s="8">
        <v>-26.050276344845766</v>
      </c>
      <c r="AB37" s="6">
        <v>1.2378575461251395</v>
      </c>
      <c r="AC37" s="8">
        <v>-63.808296888953599</v>
      </c>
      <c r="AD37" s="8">
        <v>0</v>
      </c>
      <c r="AE37" s="8">
        <v>0</v>
      </c>
      <c r="AF37" s="8">
        <v>0</v>
      </c>
      <c r="AG37" s="8">
        <v>0</v>
      </c>
      <c r="AH37" s="8">
        <v>-1</v>
      </c>
      <c r="AI37" s="8">
        <v>0</v>
      </c>
    </row>
    <row r="38" spans="1:35" ht="15" x14ac:dyDescent="0.25">
      <c r="A38" s="15" t="str">
        <f>IFERROR(RIGHT(IF(VLOOKUP(B38,Patterns!H:I,2,0)="NO_PATTERN","",VLOOKUP(B38,Patterns!H:I,2,0)),LEN(IF(VLOOKUP(B38,Patterns!H:I,2,0)="NO_PATTERN","",VLOOKUP(B38,Patterns!H:I,2,0)))-3),"")</f>
        <v/>
      </c>
      <c r="B38" s="3" t="s">
        <v>96</v>
      </c>
      <c r="C38" s="26">
        <v>15</v>
      </c>
      <c r="D38" s="8">
        <v>0</v>
      </c>
      <c r="E38" s="7">
        <v>-9.2470502079280426E-3</v>
      </c>
      <c r="F38" s="9">
        <v>1.7058813629682819</v>
      </c>
      <c r="G38" s="9">
        <v>1.3529378765609397</v>
      </c>
      <c r="H38" s="8">
        <v>-80.852696330694656</v>
      </c>
      <c r="I38" s="8">
        <v>25.842086425781307</v>
      </c>
      <c r="J38" s="7">
        <v>-1.809649303496812E-2</v>
      </c>
      <c r="K38" s="7">
        <v>-6.2551502180389795E-2</v>
      </c>
      <c r="L38" s="7">
        <v>-7.2343633460779461E-2</v>
      </c>
      <c r="M38" s="8">
        <v>26.171623355730262</v>
      </c>
      <c r="N38" s="8">
        <v>37.537276406667097</v>
      </c>
      <c r="O38" s="8">
        <v>-86.338042567038627</v>
      </c>
      <c r="P38" s="8">
        <v>50.418767361617448</v>
      </c>
      <c r="Q38" s="9">
        <v>0.44396967137850174</v>
      </c>
      <c r="R38" s="9">
        <v>0.2708720787569634</v>
      </c>
      <c r="S38" s="8">
        <v>-77.978514605288439</v>
      </c>
      <c r="T38" s="9">
        <v>6.3953963257098817E-2</v>
      </c>
      <c r="U38" s="8">
        <v>-36.447648234054171</v>
      </c>
      <c r="V38" s="7">
        <v>-5.6090844553272491E-2</v>
      </c>
      <c r="W38" s="7">
        <v>9.3575096940602034E-3</v>
      </c>
      <c r="X38" s="9">
        <v>0.21223455381676126</v>
      </c>
      <c r="Y38" s="9">
        <v>0.32396081825023321</v>
      </c>
      <c r="Z38" s="8">
        <v>21.050377771694173</v>
      </c>
      <c r="AA38" s="8">
        <v>48.039069905251438</v>
      </c>
      <c r="AB38" s="6">
        <v>0.42999996457781109</v>
      </c>
      <c r="AC38" s="8">
        <v>78.548032073027002</v>
      </c>
      <c r="AD38" s="8">
        <v>0</v>
      </c>
      <c r="AE38" s="8">
        <v>0</v>
      </c>
      <c r="AF38" s="8">
        <v>0</v>
      </c>
      <c r="AG38" s="8">
        <v>0</v>
      </c>
      <c r="AH38" s="8">
        <v>0</v>
      </c>
      <c r="AI38" s="8">
        <v>0</v>
      </c>
    </row>
    <row r="39" spans="1:35" ht="15" x14ac:dyDescent="0.25">
      <c r="A39" s="15" t="str">
        <f>IFERROR(RIGHT(IF(VLOOKUP(B39,Patterns!H:I,2,0)="NO_PATTERN","",VLOOKUP(B39,Patterns!H:I,2,0)),LEN(IF(VLOOKUP(B39,Patterns!H:I,2,0)="NO_PATTERN","",VLOOKUP(B39,Patterns!H:I,2,0)))-3),"")</f>
        <v>BELTHOLD_Bear</v>
      </c>
      <c r="B39" s="3" t="s">
        <v>238</v>
      </c>
      <c r="C39" s="26">
        <v>18.319999694824219</v>
      </c>
      <c r="D39" s="8">
        <v>-1</v>
      </c>
      <c r="E39" s="7">
        <v>-2.6567481833568163E-2</v>
      </c>
      <c r="F39" s="9">
        <v>1.7142837680119527</v>
      </c>
      <c r="G39" s="9">
        <v>0.16666590978242607</v>
      </c>
      <c r="H39" s="8">
        <v>-74.089195313329057</v>
      </c>
      <c r="I39" s="8">
        <v>40.218665984683042</v>
      </c>
      <c r="J39" s="7">
        <v>-3.4027645881272765E-2</v>
      </c>
      <c r="K39" s="7">
        <v>-0.11367693748407205</v>
      </c>
      <c r="L39" s="7">
        <v>-0.15989131883516455</v>
      </c>
      <c r="M39" s="8">
        <v>25.026273678462175</v>
      </c>
      <c r="N39" s="8">
        <v>39.420159903005924</v>
      </c>
      <c r="O39" s="8">
        <v>-86.27522559382372</v>
      </c>
      <c r="P39" s="8">
        <v>62.124006188862552</v>
      </c>
      <c r="Q39" s="9">
        <v>0.20420492991783457</v>
      </c>
      <c r="R39" s="9">
        <v>0.23731307149375191</v>
      </c>
      <c r="S39" s="8">
        <v>-80.98390142840843</v>
      </c>
      <c r="T39" s="9">
        <v>0.16339121987052774</v>
      </c>
      <c r="U39" s="8">
        <v>-65.611820581975792</v>
      </c>
      <c r="V39" s="7">
        <v>-0.12863602003720165</v>
      </c>
      <c r="W39" s="7">
        <v>4.1845596426723981E-2</v>
      </c>
      <c r="X39" s="9">
        <v>0.46912825530988606</v>
      </c>
      <c r="Y39" s="9">
        <v>0.6330957007707495</v>
      </c>
      <c r="Z39" s="8">
        <v>22.540270491851512</v>
      </c>
      <c r="AA39" s="8">
        <v>-54.557830563162291</v>
      </c>
      <c r="AB39" s="6">
        <v>0.92785699026925228</v>
      </c>
      <c r="AC39" s="8">
        <v>66.269792464626903</v>
      </c>
      <c r="AD39" s="8">
        <v>0</v>
      </c>
      <c r="AE39" s="8">
        <v>0</v>
      </c>
      <c r="AF39" s="8">
        <v>0</v>
      </c>
      <c r="AG39" s="8">
        <v>0</v>
      </c>
      <c r="AH39" s="8">
        <v>-1</v>
      </c>
      <c r="AI39" s="8">
        <v>0</v>
      </c>
    </row>
    <row r="40" spans="1:35" ht="15" x14ac:dyDescent="0.25">
      <c r="A40" s="15" t="str">
        <f>IFERROR(RIGHT(IF(VLOOKUP(B40,Patterns!H:I,2,0)="NO_PATTERN","",VLOOKUP(B40,Patterns!H:I,2,0)),LEN(IF(VLOOKUP(B40,Patterns!H:I,2,0)="NO_PATTERN","",VLOOKUP(B40,Patterns!H:I,2,0)))-3),"")</f>
        <v>BELTHOLD_Bear</v>
      </c>
      <c r="B40" s="3" t="s">
        <v>234</v>
      </c>
      <c r="C40" s="26">
        <v>32.020000457763672</v>
      </c>
      <c r="D40" s="8">
        <v>-1</v>
      </c>
      <c r="E40" s="7">
        <v>-2.8519376602525903E-2</v>
      </c>
      <c r="F40" s="9">
        <v>1.8833399031064431</v>
      </c>
      <c r="G40" s="9">
        <v>6.6668362091985303E-2</v>
      </c>
      <c r="H40" s="8">
        <v>-86.415009511529291</v>
      </c>
      <c r="I40" s="8">
        <v>50.019829291811767</v>
      </c>
      <c r="J40" s="7">
        <v>-3.9032035921086207E-2</v>
      </c>
      <c r="K40" s="7">
        <v>-7.231535033405323E-2</v>
      </c>
      <c r="L40" s="7">
        <v>-0.13788533912388795</v>
      </c>
      <c r="M40" s="8">
        <v>24.506666797662461</v>
      </c>
      <c r="N40" s="8">
        <v>40.565636005999181</v>
      </c>
      <c r="O40" s="8">
        <v>-88.000904867751373</v>
      </c>
      <c r="P40" s="8">
        <v>58.739535373961054</v>
      </c>
      <c r="Q40" s="9">
        <v>7.940722102478226E-2</v>
      </c>
      <c r="R40" s="9">
        <v>-0.41135073779795683</v>
      </c>
      <c r="S40" s="8">
        <v>-56.78837026388193</v>
      </c>
      <c r="T40" s="9">
        <v>0.10444682139439672</v>
      </c>
      <c r="U40" s="8">
        <v>-83.532775828843725</v>
      </c>
      <c r="V40" s="7">
        <v>-8.8896777129017293E-2</v>
      </c>
      <c r="W40" s="7">
        <v>1.9190351556297277E-2</v>
      </c>
      <c r="X40" s="9">
        <v>0.45805347155852921</v>
      </c>
      <c r="Y40" s="9">
        <v>0.29541400361744291</v>
      </c>
      <c r="Z40" s="8">
        <v>16.945899318042169</v>
      </c>
      <c r="AA40" s="8">
        <v>-82.040995512098462</v>
      </c>
      <c r="AB40" s="6">
        <v>1.5114280155726842</v>
      </c>
      <c r="AC40" s="8">
        <v>11.994652718909588</v>
      </c>
      <c r="AD40" s="8">
        <v>0</v>
      </c>
      <c r="AE40" s="8">
        <v>0</v>
      </c>
      <c r="AF40" s="8">
        <v>0</v>
      </c>
      <c r="AG40" s="8">
        <v>0</v>
      </c>
      <c r="AH40" s="8">
        <v>-1</v>
      </c>
      <c r="AI40" s="8">
        <v>0</v>
      </c>
    </row>
    <row r="41" spans="1:35" ht="15" x14ac:dyDescent="0.25">
      <c r="A41" s="15" t="str">
        <f>IFERROR(RIGHT(IF(VLOOKUP(B41,Patterns!H:I,2,0)="NO_PATTERN","",VLOOKUP(B41,Patterns!H:I,2,0)),LEN(IF(VLOOKUP(B41,Patterns!H:I,2,0)="NO_PATTERN","",VLOOKUP(B41,Patterns!H:I,2,0)))-3),"")</f>
        <v>CLOSINGMARUBOZU_Bear</v>
      </c>
      <c r="B41" s="3" t="s">
        <v>110</v>
      </c>
      <c r="C41" s="26">
        <v>26.729999542236328</v>
      </c>
      <c r="D41" s="8">
        <v>-1</v>
      </c>
      <c r="E41" s="7">
        <v>6.4006054108523003E-3</v>
      </c>
      <c r="F41" s="9">
        <v>0.23404419373820587</v>
      </c>
      <c r="G41" s="9">
        <v>0.65957835359048755</v>
      </c>
      <c r="H41" s="8">
        <v>-81.467471932274819</v>
      </c>
      <c r="I41" s="8">
        <v>25.356043709290429</v>
      </c>
      <c r="J41" s="7">
        <v>-1.9439047243968614E-2</v>
      </c>
      <c r="K41" s="7">
        <v>-2.7017536574638627E-2</v>
      </c>
      <c r="L41" s="7">
        <v>-1.2439528939053715E-2</v>
      </c>
      <c r="M41" s="8">
        <v>23.552228170985885</v>
      </c>
      <c r="N41" s="8">
        <v>44.277445127478749</v>
      </c>
      <c r="O41" s="8">
        <v>-88.372108296738091</v>
      </c>
      <c r="P41" s="8">
        <v>54.987343217956344</v>
      </c>
      <c r="Q41" s="9">
        <v>9.2998959266745063E-2</v>
      </c>
      <c r="R41" s="9">
        <v>2.6014106802830339E-2</v>
      </c>
      <c r="S41" s="8">
        <v>-75.845594529768078</v>
      </c>
      <c r="T41" s="9">
        <v>0.10837199664652158</v>
      </c>
      <c r="U41" s="8">
        <v>-83.9264870202624</v>
      </c>
      <c r="V41" s="7">
        <v>-6.7913349116448932E-2</v>
      </c>
      <c r="W41" s="7">
        <v>4.186984101631816E-2</v>
      </c>
      <c r="X41" s="9">
        <v>0.34538335992654973</v>
      </c>
      <c r="Y41" s="9">
        <v>0.38364661599482824</v>
      </c>
      <c r="Z41" s="8">
        <v>14.335975995535167</v>
      </c>
      <c r="AA41" s="8">
        <v>-31.176548699024373</v>
      </c>
      <c r="AB41" s="6">
        <v>1.0171431132725306</v>
      </c>
      <c r="AC41" s="8">
        <v>-6.9840149267842797</v>
      </c>
      <c r="AD41" s="8">
        <v>0</v>
      </c>
      <c r="AE41" s="8">
        <v>0</v>
      </c>
      <c r="AF41" s="8">
        <v>0</v>
      </c>
      <c r="AG41" s="8">
        <v>0</v>
      </c>
      <c r="AH41" s="8">
        <v>-1</v>
      </c>
      <c r="AI41" s="8">
        <v>0</v>
      </c>
    </row>
    <row r="42" spans="1:35" ht="15" x14ac:dyDescent="0.25">
      <c r="A42" s="15" t="str">
        <f>IFERROR(RIGHT(IF(VLOOKUP(B42,Patterns!H:I,2,0)="NO_PATTERN","",VLOOKUP(B42,Patterns!H:I,2,0)),LEN(IF(VLOOKUP(B42,Patterns!H:I,2,0)="NO_PATTERN","",VLOOKUP(B42,Patterns!H:I,2,0)))-3),"")</f>
        <v>RICKSHAWMAN_Bull</v>
      </c>
      <c r="B42" s="3" t="s">
        <v>221</v>
      </c>
      <c r="C42" s="26">
        <v>13.949999809265137</v>
      </c>
      <c r="D42" s="8">
        <v>1</v>
      </c>
      <c r="E42" s="7">
        <v>1.0137536958331417E-2</v>
      </c>
      <c r="F42" s="9">
        <v>1.4090919928127568</v>
      </c>
      <c r="G42" s="9">
        <v>0.38636417822456015</v>
      </c>
      <c r="H42" s="8">
        <v>-83.030749454918833</v>
      </c>
      <c r="I42" s="8">
        <v>-51.48090147623995</v>
      </c>
      <c r="J42" s="7">
        <v>-3.0492248128905754E-2</v>
      </c>
      <c r="K42" s="7">
        <v>-8.6879235401233074E-3</v>
      </c>
      <c r="L42" s="7">
        <v>6.1939768637499725E-4</v>
      </c>
      <c r="M42" s="8">
        <v>23.27370987355394</v>
      </c>
      <c r="N42" s="8">
        <v>44.24989963452331</v>
      </c>
      <c r="O42" s="8">
        <v>-87.803797183345182</v>
      </c>
      <c r="P42" s="8">
        <v>39.828408413625873</v>
      </c>
      <c r="Q42" s="9">
        <v>0.3473217458249438</v>
      </c>
      <c r="R42" s="9">
        <v>-5.6192989702268825E-2</v>
      </c>
      <c r="S42" s="8">
        <v>-78.859015792993475</v>
      </c>
      <c r="T42" s="9">
        <v>0.13893107348469011</v>
      </c>
      <c r="U42" s="8">
        <v>-86.583391028985616</v>
      </c>
      <c r="V42" s="7">
        <v>-0.10672435224245999</v>
      </c>
      <c r="W42" s="7">
        <v>3.7046902675253762E-2</v>
      </c>
      <c r="X42" s="9">
        <v>0.45972269172717051</v>
      </c>
      <c r="Y42" s="9">
        <v>0.46346357534681709</v>
      </c>
      <c r="Z42" s="8">
        <v>23.426707363022484</v>
      </c>
      <c r="AA42" s="8">
        <v>-85.029731027219853</v>
      </c>
      <c r="AB42" s="6">
        <v>0.72071436473301476</v>
      </c>
      <c r="AC42" s="8">
        <v>-71.556033770005428</v>
      </c>
      <c r="AD42" s="8">
        <v>0</v>
      </c>
      <c r="AE42" s="8">
        <v>0</v>
      </c>
      <c r="AF42" s="8">
        <v>0</v>
      </c>
      <c r="AG42" s="8">
        <v>0</v>
      </c>
      <c r="AH42" s="8">
        <v>0</v>
      </c>
      <c r="AI42" s="8">
        <v>0</v>
      </c>
    </row>
    <row r="43" spans="1:35" ht="15" x14ac:dyDescent="0.25">
      <c r="A43" s="15" t="str">
        <f>IFERROR(RIGHT(IF(VLOOKUP(B43,Patterns!H:I,2,0)="NO_PATTERN","",VLOOKUP(B43,Patterns!H:I,2,0)),LEN(IF(VLOOKUP(B43,Patterns!H:I,2,0)="NO_PATTERN","",VLOOKUP(B43,Patterns!H:I,2,0)))-3),"")</f>
        <v>RICKSHAWMAN_Bull</v>
      </c>
      <c r="B43" s="3" t="s">
        <v>215</v>
      </c>
      <c r="C43" s="26">
        <v>9.75</v>
      </c>
      <c r="D43" s="8">
        <v>1</v>
      </c>
      <c r="E43" s="7">
        <v>-1.7137104333315278E-2</v>
      </c>
      <c r="F43" s="9">
        <v>3.4166686534900541</v>
      </c>
      <c r="G43" s="9">
        <v>0</v>
      </c>
      <c r="H43" s="8">
        <v>-83.177331070145598</v>
      </c>
      <c r="I43" s="8">
        <v>46.123266314033131</v>
      </c>
      <c r="J43" s="7">
        <v>-1.8988506226286735E-2</v>
      </c>
      <c r="K43" s="7">
        <v>6.7512864669950906E-3</v>
      </c>
      <c r="L43" s="7">
        <v>-1.2740475145602587E-2</v>
      </c>
      <c r="M43" s="8">
        <v>22.606565294674382</v>
      </c>
      <c r="N43" s="8">
        <v>45.787912255095833</v>
      </c>
      <c r="O43" s="8">
        <v>-88.212006454477446</v>
      </c>
      <c r="P43" s="8">
        <v>55.151294181383385</v>
      </c>
      <c r="Q43" s="9">
        <v>-3.8141645869156249E-2</v>
      </c>
      <c r="R43" s="9">
        <v>6.8751667650411852E-2</v>
      </c>
      <c r="S43" s="8">
        <v>-75.374712805402453</v>
      </c>
      <c r="T43" s="9">
        <v>0.10376123815503441</v>
      </c>
      <c r="U43" s="8">
        <v>-77.782953015987076</v>
      </c>
      <c r="V43" s="7">
        <v>-6.8494927899073937E-2</v>
      </c>
      <c r="W43" s="7">
        <v>3.6905204654382504E-2</v>
      </c>
      <c r="X43" s="9">
        <v>0.39446931940315594</v>
      </c>
      <c r="Y43" s="9">
        <v>0.3065073970170244</v>
      </c>
      <c r="Z43" s="8">
        <v>23.825477572885912</v>
      </c>
      <c r="AA43" s="8">
        <v>82.325642260854906</v>
      </c>
      <c r="AB43" s="6">
        <v>0.37571423394339426</v>
      </c>
      <c r="AC43" s="8">
        <v>80.103045455687649</v>
      </c>
      <c r="AD43" s="8">
        <v>0</v>
      </c>
      <c r="AE43" s="8">
        <v>0</v>
      </c>
      <c r="AF43" s="8">
        <v>0</v>
      </c>
      <c r="AG43" s="8">
        <v>0</v>
      </c>
      <c r="AH43" s="8">
        <v>-1</v>
      </c>
      <c r="AI43" s="8">
        <v>0</v>
      </c>
    </row>
    <row r="44" spans="1:35" ht="15" x14ac:dyDescent="0.25">
      <c r="A44" s="15" t="str">
        <f>IFERROR(RIGHT(IF(VLOOKUP(B44,Patterns!H:I,2,0)="NO_PATTERN","",VLOOKUP(B44,Patterns!H:I,2,0)),LEN(IF(VLOOKUP(B44,Patterns!H:I,2,0)="NO_PATTERN","",VLOOKUP(B44,Patterns!H:I,2,0)))-3),"")</f>
        <v>SHORTLINE_Bear</v>
      </c>
      <c r="B44" s="3" t="s">
        <v>143</v>
      </c>
      <c r="C44" s="26">
        <v>24.25</v>
      </c>
      <c r="D44" s="8">
        <v>-1</v>
      </c>
      <c r="E44" s="7">
        <v>4.9730975303352576E-3</v>
      </c>
      <c r="F44" s="9">
        <v>1.6904737035708284</v>
      </c>
      <c r="G44" s="9">
        <v>0.80952402577644966</v>
      </c>
      <c r="H44" s="8">
        <v>-82.950700538644753</v>
      </c>
      <c r="I44" s="8">
        <v>60.969751790510323</v>
      </c>
      <c r="J44" s="7">
        <v>-1.8907416588576816E-2</v>
      </c>
      <c r="K44" s="7">
        <v>6.1385662949757371E-2</v>
      </c>
      <c r="L44" s="7">
        <v>0.25714115387425485</v>
      </c>
      <c r="M44" s="8">
        <v>22.511281009825993</v>
      </c>
      <c r="N44" s="8">
        <v>49.592620532070228</v>
      </c>
      <c r="O44" s="8">
        <v>-87.642500088709923</v>
      </c>
      <c r="P44" s="8">
        <v>62.082505712261245</v>
      </c>
      <c r="Q44" s="9">
        <v>0.61456903824015052</v>
      </c>
      <c r="R44" s="9">
        <v>0.44561291384636248</v>
      </c>
      <c r="S44" s="8">
        <v>-69.495088972946505</v>
      </c>
      <c r="T44" s="9">
        <v>0.16686835457538016</v>
      </c>
      <c r="U44" s="8">
        <v>-85.900881340763988</v>
      </c>
      <c r="V44" s="7">
        <v>-8.989009476833397E-2</v>
      </c>
      <c r="W44" s="7">
        <v>7.7972587242762126E-2</v>
      </c>
      <c r="X44" s="9">
        <v>0.55249792647603313</v>
      </c>
      <c r="Y44" s="9">
        <v>0.56126806479132807</v>
      </c>
      <c r="Z44" s="8">
        <v>21.393214243447471</v>
      </c>
      <c r="AA44" s="8">
        <v>-85.127116042698731</v>
      </c>
      <c r="AB44" s="6">
        <v>1.1878570829119002</v>
      </c>
      <c r="AC44" s="8">
        <v>72.717030942959752</v>
      </c>
      <c r="AD44" s="8">
        <v>0</v>
      </c>
      <c r="AE44" s="8">
        <v>0</v>
      </c>
      <c r="AF44" s="8">
        <v>0</v>
      </c>
      <c r="AG44" s="8">
        <v>0</v>
      </c>
      <c r="AH44" s="8">
        <v>-1</v>
      </c>
      <c r="AI44" s="8">
        <v>0</v>
      </c>
    </row>
    <row r="45" spans="1:35" ht="15" x14ac:dyDescent="0.25">
      <c r="A45" s="15" t="str">
        <f>IFERROR(RIGHT(IF(VLOOKUP(B45,Patterns!H:I,2,0)="NO_PATTERN","",VLOOKUP(B45,Patterns!H:I,2,0)),LEN(IF(VLOOKUP(B45,Patterns!H:I,2,0)="NO_PATTERN","",VLOOKUP(B45,Patterns!H:I,2,0)))-3),"")</f>
        <v>HIKKAKEMOD_Bull</v>
      </c>
      <c r="B45" s="3" t="s">
        <v>224</v>
      </c>
      <c r="C45" s="26">
        <v>38.330001831054688</v>
      </c>
      <c r="D45" s="8">
        <v>1</v>
      </c>
      <c r="E45" s="7">
        <v>-0.10735903453864681</v>
      </c>
      <c r="F45" s="9">
        <v>0.17620152081629303</v>
      </c>
      <c r="G45" s="9">
        <v>0</v>
      </c>
      <c r="H45" s="8">
        <v>-82.924641243664709</v>
      </c>
      <c r="I45" s="8">
        <v>81.187960133255046</v>
      </c>
      <c r="J45" s="7">
        <v>-5.4599992883291114E-2</v>
      </c>
      <c r="K45" s="7">
        <v>1.591102392227282E-2</v>
      </c>
      <c r="L45" s="7">
        <v>0.19836246974294516</v>
      </c>
      <c r="M45" s="8">
        <v>22.449694130870995</v>
      </c>
      <c r="N45" s="8">
        <v>45.05623403033173</v>
      </c>
      <c r="O45" s="8">
        <v>-87.639851787742131</v>
      </c>
      <c r="P45" s="8">
        <v>85.742630595862309</v>
      </c>
      <c r="Q45" s="9">
        <v>0.96997528593597337</v>
      </c>
      <c r="R45" s="9">
        <v>1.6731429293390141</v>
      </c>
      <c r="S45" s="8">
        <v>-81.359638190776323</v>
      </c>
      <c r="T45" s="9">
        <v>0.21136930107654608</v>
      </c>
      <c r="U45" s="8">
        <v>81.930496828379631</v>
      </c>
      <c r="V45" s="7">
        <v>-0.12798290346017324</v>
      </c>
      <c r="W45" s="7">
        <v>8.76490652160683E-2</v>
      </c>
      <c r="X45" s="9">
        <v>0.68879212425884118</v>
      </c>
      <c r="Y45" s="9">
        <v>0.46304548435348392</v>
      </c>
      <c r="Z45" s="8">
        <v>19.169409008329062</v>
      </c>
      <c r="AA45" s="8">
        <v>81.455735561014222</v>
      </c>
      <c r="AB45" s="6">
        <v>1.9485716138567244</v>
      </c>
      <c r="AC45" s="8">
        <v>84.775673074179736</v>
      </c>
      <c r="AD45" s="8">
        <v>0</v>
      </c>
      <c r="AE45" s="8">
        <v>0</v>
      </c>
      <c r="AF45" s="8">
        <v>0</v>
      </c>
      <c r="AG45" s="8">
        <v>0</v>
      </c>
      <c r="AH45" s="8">
        <v>-1</v>
      </c>
      <c r="AI45" s="8">
        <v>0</v>
      </c>
    </row>
    <row r="46" spans="1:35" ht="15" x14ac:dyDescent="0.25">
      <c r="A46" s="15" t="str">
        <f>IFERROR(RIGHT(IF(VLOOKUP(B46,Patterns!H:I,2,0)="NO_PATTERN","",VLOOKUP(B46,Patterns!H:I,2,0)),LEN(IF(VLOOKUP(B46,Patterns!H:I,2,0)="NO_PATTERN","",VLOOKUP(B46,Patterns!H:I,2,0)))-3),"")</f>
        <v>CLOSINGMARUBOZU_Bear</v>
      </c>
      <c r="B46" s="3" t="s">
        <v>230</v>
      </c>
      <c r="C46" s="26">
        <v>20.180000305175781</v>
      </c>
      <c r="D46" s="8">
        <v>-1</v>
      </c>
      <c r="E46" s="7">
        <v>-8.8939022450656324E-2</v>
      </c>
      <c r="F46" s="9">
        <v>0.47445264620465172</v>
      </c>
      <c r="G46" s="9">
        <v>0.47445403843101658</v>
      </c>
      <c r="H46" s="8">
        <v>-80.952814519360601</v>
      </c>
      <c r="I46" s="8">
        <v>-29.513567408451866</v>
      </c>
      <c r="J46" s="7">
        <v>-7.931866534631879E-2</v>
      </c>
      <c r="K46" s="7">
        <v>-0.14971325399766541</v>
      </c>
      <c r="L46" s="7">
        <v>-0.14489453077682557</v>
      </c>
      <c r="M46" s="8">
        <v>22.395564234644496</v>
      </c>
      <c r="N46" s="8">
        <v>36.468789360454856</v>
      </c>
      <c r="O46" s="8">
        <v>-86.423992811243806</v>
      </c>
      <c r="P46" s="8">
        <v>46.044388953155938</v>
      </c>
      <c r="Q46" s="9">
        <v>1.5354252695781594</v>
      </c>
      <c r="R46" s="9">
        <v>1.7752490568505817</v>
      </c>
      <c r="S46" s="8">
        <v>-81.181556593111893</v>
      </c>
      <c r="T46" s="9">
        <v>0.14983211380229805</v>
      </c>
      <c r="U46" s="8">
        <v>40.738583814825759</v>
      </c>
      <c r="V46" s="7">
        <v>-0.18166190570160781</v>
      </c>
      <c r="W46" s="7">
        <v>-1.6950531269878059E-2</v>
      </c>
      <c r="X46" s="9">
        <v>0.61986049194819171</v>
      </c>
      <c r="Y46" s="9">
        <v>0.60072503944153999</v>
      </c>
      <c r="Z46" s="8">
        <v>12.190949398048941</v>
      </c>
      <c r="AA46" s="8">
        <v>51.498834079313035</v>
      </c>
      <c r="AB46" s="6">
        <v>1.3300001961844308</v>
      </c>
      <c r="AC46" s="8">
        <v>82.56122146927153</v>
      </c>
      <c r="AD46" s="8">
        <v>0</v>
      </c>
      <c r="AE46" s="8">
        <v>0</v>
      </c>
      <c r="AF46" s="8">
        <v>0</v>
      </c>
      <c r="AG46" s="8">
        <v>-1</v>
      </c>
      <c r="AH46" s="8">
        <v>0</v>
      </c>
      <c r="AI46" s="8">
        <v>0</v>
      </c>
    </row>
    <row r="47" spans="1:35" ht="15" x14ac:dyDescent="0.25">
      <c r="A47" s="15" t="str">
        <f>IFERROR(RIGHT(IF(VLOOKUP(B47,Patterns!H:I,2,0)="NO_PATTERN","",VLOOKUP(B47,Patterns!H:I,2,0)),LEN(IF(VLOOKUP(B47,Patterns!H:I,2,0)="NO_PATTERN","",VLOOKUP(B47,Patterns!H:I,2,0)))-3),"")</f>
        <v>CLOSINGMARUBOZU_Bull</v>
      </c>
      <c r="B47" s="3" t="s">
        <v>97</v>
      </c>
      <c r="C47" s="26">
        <v>0.98000001907348633</v>
      </c>
      <c r="D47" s="8">
        <v>1</v>
      </c>
      <c r="E47" s="7">
        <v>-5.7692254788774933E-2</v>
      </c>
      <c r="F47" s="9">
        <v>1.2500014901175405</v>
      </c>
      <c r="G47" s="9">
        <v>0.25</v>
      </c>
      <c r="H47" s="8">
        <v>-82.26383772851473</v>
      </c>
      <c r="I47" s="8">
        <v>64.110338340043739</v>
      </c>
      <c r="J47" s="7">
        <v>-4.5062764018089639E-2</v>
      </c>
      <c r="K47" s="7">
        <v>-8.5913426988449823E-2</v>
      </c>
      <c r="L47" s="7">
        <v>-0.40546163197841534</v>
      </c>
      <c r="M47" s="8">
        <v>22.224973247344693</v>
      </c>
      <c r="N47" s="8">
        <v>44.19080939742576</v>
      </c>
      <c r="O47" s="8">
        <v>-88.664658241499993</v>
      </c>
      <c r="P47" s="8">
        <v>56.378590103113829</v>
      </c>
      <c r="Q47" s="9">
        <v>1.3928419970080403</v>
      </c>
      <c r="R47" s="9">
        <v>2.209177295524559</v>
      </c>
      <c r="S47" s="8">
        <v>-80.474992476834601</v>
      </c>
      <c r="T47" s="9">
        <v>0.21538728824295594</v>
      </c>
      <c r="U47" s="8">
        <v>75.265568819271508</v>
      </c>
      <c r="V47" s="7">
        <v>-0.12916932306011072</v>
      </c>
      <c r="W47" s="7">
        <v>9.0393838425701131E-2</v>
      </c>
      <c r="X47" s="9">
        <v>0.60825596228000767</v>
      </c>
      <c r="Y47" s="9">
        <v>0.53179045372482436</v>
      </c>
      <c r="Z47" s="8">
        <v>24.906954358446171</v>
      </c>
      <c r="AA47" s="8">
        <v>68.703954605237442</v>
      </c>
      <c r="AB47" s="6">
        <v>5.9999998126711161E-2</v>
      </c>
      <c r="AC47" s="8">
        <v>80.852344737676532</v>
      </c>
      <c r="AD47" s="8">
        <v>0</v>
      </c>
      <c r="AE47" s="8">
        <v>0</v>
      </c>
      <c r="AF47" s="8">
        <v>0</v>
      </c>
      <c r="AG47" s="8">
        <v>0</v>
      </c>
      <c r="AH47" s="8">
        <v>-1</v>
      </c>
      <c r="AI47" s="8">
        <v>0</v>
      </c>
    </row>
    <row r="48" spans="1:35" ht="15" x14ac:dyDescent="0.25">
      <c r="A48" s="15" t="str">
        <f>IFERROR(RIGHT(IF(VLOOKUP(B48,Patterns!H:I,2,0)="NO_PATTERN","",VLOOKUP(B48,Patterns!H:I,2,0)),LEN(IF(VLOOKUP(B48,Patterns!H:I,2,0)="NO_PATTERN","",VLOOKUP(B48,Patterns!H:I,2,0)))-3),"")</f>
        <v>SPINNINGTOP_Bear</v>
      </c>
      <c r="B48" s="3" t="s">
        <v>337</v>
      </c>
      <c r="C48" s="6">
        <v>36.819999694824219</v>
      </c>
      <c r="D48" s="6">
        <v>-1</v>
      </c>
      <c r="E48" s="7">
        <v>-1.4190061605065307E-2</v>
      </c>
      <c r="F48" s="9">
        <v>1</v>
      </c>
      <c r="G48" s="9">
        <v>1.9227524483732533E-2</v>
      </c>
      <c r="H48" s="8">
        <v>-79.49014997255901</v>
      </c>
      <c r="I48" s="8">
        <v>74.113913255357119</v>
      </c>
      <c r="J48" s="7">
        <v>-1.048036917727605E-2</v>
      </c>
      <c r="K48" s="7">
        <v>-1.5641586135865582E-2</v>
      </c>
      <c r="L48" s="7">
        <v>3.1030547435542503E-2</v>
      </c>
      <c r="M48" s="8">
        <v>21.964752546287741</v>
      </c>
      <c r="N48" s="8">
        <v>45.846729907908511</v>
      </c>
      <c r="O48" s="8">
        <v>-88.029679598315582</v>
      </c>
      <c r="P48" s="8">
        <v>79.515032228189398</v>
      </c>
      <c r="Q48" s="9">
        <v>0.69620949646225405</v>
      </c>
      <c r="R48" s="9">
        <v>0.79735668372032009</v>
      </c>
      <c r="S48" s="8">
        <v>-84.000790004892295</v>
      </c>
      <c r="T48" s="7">
        <v>8.287754026721858E-2</v>
      </c>
      <c r="U48" s="6">
        <v>71.824618852000555</v>
      </c>
      <c r="V48" s="7">
        <v>-3.9275000361442713E-2</v>
      </c>
      <c r="W48" s="7">
        <v>4.3430347433626282E-2</v>
      </c>
      <c r="X48" s="9">
        <v>0.17588184643553872</v>
      </c>
      <c r="Y48" s="9">
        <v>0.21877683391882974</v>
      </c>
      <c r="Z48" s="8">
        <v>20.921371881135524</v>
      </c>
      <c r="AA48" s="8">
        <v>-84.551573353307759</v>
      </c>
      <c r="AB48" s="6">
        <v>0.70357131958007813</v>
      </c>
      <c r="AC48" s="8">
        <v>10.350271333588275</v>
      </c>
      <c r="AD48" s="8">
        <v>0</v>
      </c>
      <c r="AE48" s="8">
        <v>0</v>
      </c>
      <c r="AF48" s="8">
        <v>0</v>
      </c>
      <c r="AG48" s="8">
        <v>0</v>
      </c>
      <c r="AH48" s="8">
        <v>-1</v>
      </c>
      <c r="AI48" s="8">
        <v>0</v>
      </c>
    </row>
    <row r="49" spans="1:35" ht="15" x14ac:dyDescent="0.25">
      <c r="A49" s="15" t="str">
        <f>IFERROR(RIGHT(IF(VLOOKUP(B49,Patterns!H:I,2,0)="NO_PATTERN","",VLOOKUP(B49,Patterns!H:I,2,0)),LEN(IF(VLOOKUP(B49,Patterns!H:I,2,0)="NO_PATTERN","",VLOOKUP(B49,Patterns!H:I,2,0)))-3),"")</f>
        <v>BELTHOLD_Bull</v>
      </c>
      <c r="B49" s="3" t="s">
        <v>91</v>
      </c>
      <c r="C49" s="26">
        <v>23.540000915527344</v>
      </c>
      <c r="D49" s="8">
        <v>1</v>
      </c>
      <c r="E49" s="7">
        <v>-3.8398637430003491E-2</v>
      </c>
      <c r="F49" s="9">
        <v>1.0862088810110264</v>
      </c>
      <c r="G49" s="9">
        <v>0.25862006596796311</v>
      </c>
      <c r="H49" s="8">
        <v>-82.064563524540119</v>
      </c>
      <c r="I49" s="8">
        <v>-39.270053336111474</v>
      </c>
      <c r="J49" s="7">
        <v>-4.3806499375037562E-2</v>
      </c>
      <c r="K49" s="7">
        <v>-0.15782819165604225</v>
      </c>
      <c r="L49" s="7">
        <v>-0.20325990228204885</v>
      </c>
      <c r="M49" s="8">
        <v>21.668303286611135</v>
      </c>
      <c r="N49" s="8">
        <v>32.332435545479527</v>
      </c>
      <c r="O49" s="8">
        <v>-80.192649527191676</v>
      </c>
      <c r="P49" s="8">
        <v>16.152738981047623</v>
      </c>
      <c r="Q49" s="9">
        <v>0.88063936822573097</v>
      </c>
      <c r="R49" s="9">
        <v>0.90788179497249177</v>
      </c>
      <c r="S49" s="8">
        <v>-87.324184007399566</v>
      </c>
      <c r="T49" s="9">
        <v>0.32414990478512529</v>
      </c>
      <c r="U49" s="8">
        <v>70.582860550015297</v>
      </c>
      <c r="V49" s="7">
        <v>-0.27429745971620534</v>
      </c>
      <c r="W49" s="7">
        <v>8.1155860557577897E-2</v>
      </c>
      <c r="X49" s="9">
        <v>0.76796658721400368</v>
      </c>
      <c r="Y49" s="9">
        <v>0.37819776006743716</v>
      </c>
      <c r="Z49" s="8">
        <v>27.278589335067291</v>
      </c>
      <c r="AA49" s="8">
        <v>50.400104508432143</v>
      </c>
      <c r="AB49" s="6">
        <v>1.2114283697945731</v>
      </c>
      <c r="AC49" s="8">
        <v>72.790356665770133</v>
      </c>
      <c r="AD49" s="8">
        <v>0</v>
      </c>
      <c r="AE49" s="8">
        <v>0</v>
      </c>
      <c r="AF49" s="8">
        <v>0</v>
      </c>
      <c r="AG49" s="8">
        <v>-1</v>
      </c>
      <c r="AH49" s="8">
        <v>0</v>
      </c>
      <c r="AI49" s="8">
        <v>0</v>
      </c>
    </row>
    <row r="50" spans="1:35" ht="15" x14ac:dyDescent="0.25">
      <c r="A50" s="15" t="str">
        <f>IFERROR(RIGHT(IF(VLOOKUP(B50,Patterns!H:I,2,0)="NO_PATTERN","",VLOOKUP(B50,Patterns!H:I,2,0)),LEN(IF(VLOOKUP(B50,Patterns!H:I,2,0)="NO_PATTERN","",VLOOKUP(B50,Patterns!H:I,2,0)))-3),"")</f>
        <v>SPINNINGTOP_Bear</v>
      </c>
      <c r="B50" s="3" t="s">
        <v>103</v>
      </c>
      <c r="C50" s="26">
        <v>22.930000305175781</v>
      </c>
      <c r="D50" s="8">
        <v>-1</v>
      </c>
      <c r="E50" s="7">
        <v>-1.2914302323385529E-2</v>
      </c>
      <c r="F50" s="9">
        <v>2.1969713608646648</v>
      </c>
      <c r="G50" s="9">
        <v>0</v>
      </c>
      <c r="H50" s="8">
        <v>-84.562817611566643</v>
      </c>
      <c r="I50" s="8">
        <v>-43.997266551221053</v>
      </c>
      <c r="J50" s="7">
        <v>-5.8303852552622028E-2</v>
      </c>
      <c r="K50" s="7">
        <v>-0.15145011296144528</v>
      </c>
      <c r="L50" s="7">
        <v>-0.14317466931181616</v>
      </c>
      <c r="M50" s="8">
        <v>21.577904920114463</v>
      </c>
      <c r="N50" s="8">
        <v>35.568905208506436</v>
      </c>
      <c r="O50" s="8">
        <v>-86.912390446890342</v>
      </c>
      <c r="P50" s="8">
        <v>39.517874917491106</v>
      </c>
      <c r="Q50" s="9">
        <v>0.94901734083670974</v>
      </c>
      <c r="R50" s="9">
        <v>1.4015177204745353</v>
      </c>
      <c r="S50" s="8">
        <v>-87.436491303763248</v>
      </c>
      <c r="T50" s="9">
        <v>0.16927722031755127</v>
      </c>
      <c r="U50" s="8">
        <v>47.948488277694018</v>
      </c>
      <c r="V50" s="7">
        <v>-0.1813715188918206</v>
      </c>
      <c r="W50" s="7">
        <v>3.0025989086297773E-3</v>
      </c>
      <c r="X50" s="9">
        <v>0.55922364864614238</v>
      </c>
      <c r="Y50" s="9">
        <v>0.40241900934652042</v>
      </c>
      <c r="Z50" s="8">
        <v>30.855062156947497</v>
      </c>
      <c r="AA50" s="8">
        <v>-30.395497080387106</v>
      </c>
      <c r="AB50" s="6">
        <v>1.4114289964948381</v>
      </c>
      <c r="AC50" s="8">
        <v>85.635968722356097</v>
      </c>
      <c r="AD50" s="8">
        <v>0</v>
      </c>
      <c r="AE50" s="8">
        <v>0</v>
      </c>
      <c r="AF50" s="8">
        <v>0</v>
      </c>
      <c r="AG50" s="8">
        <v>0</v>
      </c>
      <c r="AH50" s="8">
        <v>0</v>
      </c>
      <c r="AI50" s="8">
        <v>0</v>
      </c>
    </row>
    <row r="51" spans="1:35" ht="15" x14ac:dyDescent="0.25">
      <c r="A51" s="15" t="str">
        <f>IFERROR(RIGHT(IF(VLOOKUP(B51,Patterns!H:I,2,0)="NO_PATTERN","",VLOOKUP(B51,Patterns!H:I,2,0)),LEN(IF(VLOOKUP(B51,Patterns!H:I,2,0)="NO_PATTERN","",VLOOKUP(B51,Patterns!H:I,2,0)))-3),"")</f>
        <v>LONGLINE_Bull</v>
      </c>
      <c r="B51" s="3" t="s">
        <v>154</v>
      </c>
      <c r="C51" s="26">
        <v>54.869998931884766</v>
      </c>
      <c r="D51" s="8">
        <v>1</v>
      </c>
      <c r="E51" s="7">
        <v>-3.6692418998960696E-2</v>
      </c>
      <c r="F51" s="9">
        <v>1.0476178582295266</v>
      </c>
      <c r="G51" s="9">
        <v>0</v>
      </c>
      <c r="H51" s="8">
        <v>-81.585934950453378</v>
      </c>
      <c r="I51" s="8">
        <v>-35.186634885174691</v>
      </c>
      <c r="J51" s="7">
        <v>-4.7790140839500145E-2</v>
      </c>
      <c r="K51" s="7">
        <v>-8.1659027553845617E-2</v>
      </c>
      <c r="L51" s="7">
        <v>7.9935699729001081E-2</v>
      </c>
      <c r="M51" s="8">
        <v>21.394186391995362</v>
      </c>
      <c r="N51" s="8">
        <v>37.301706499068878</v>
      </c>
      <c r="O51" s="8">
        <v>-86.619636297952297</v>
      </c>
      <c r="P51" s="8">
        <v>37.286399703560257</v>
      </c>
      <c r="Q51" s="9">
        <v>0.58135776335321343</v>
      </c>
      <c r="R51" s="9">
        <v>0.32681114961778901</v>
      </c>
      <c r="S51" s="8">
        <v>-72.142932383152825</v>
      </c>
      <c r="T51" s="9">
        <v>0.10115932336106259</v>
      </c>
      <c r="U51" s="8">
        <v>47.497355416287036</v>
      </c>
      <c r="V51" s="7">
        <v>-0.11084392978903793</v>
      </c>
      <c r="W51" s="7">
        <v>-3.8818169708156208E-3</v>
      </c>
      <c r="X51" s="9">
        <v>0.50291549064466068</v>
      </c>
      <c r="Y51" s="9">
        <v>0.4702926798761059</v>
      </c>
      <c r="Z51" s="8">
        <v>21.984449159686335</v>
      </c>
      <c r="AA51" s="8">
        <v>-65.712227034451956</v>
      </c>
      <c r="AB51" s="6">
        <v>2.6778575352260043</v>
      </c>
      <c r="AC51" s="8">
        <v>-80.101866851254357</v>
      </c>
      <c r="AD51" s="8">
        <v>0</v>
      </c>
      <c r="AE51" s="8">
        <v>0</v>
      </c>
      <c r="AF51" s="8">
        <v>0</v>
      </c>
      <c r="AG51" s="8">
        <v>-1</v>
      </c>
      <c r="AH51" s="8">
        <v>0</v>
      </c>
      <c r="AI51" s="8">
        <v>0</v>
      </c>
    </row>
    <row r="52" spans="1:35" ht="15" x14ac:dyDescent="0.25">
      <c r="A52" s="15" t="str">
        <f>IFERROR(RIGHT(IF(VLOOKUP(B52,Patterns!H:I,2,0)="NO_PATTERN","",VLOOKUP(B52,Patterns!H:I,2,0)),LEN(IF(VLOOKUP(B52,Patterns!H:I,2,0)="NO_PATTERN","",VLOOKUP(B52,Patterns!H:I,2,0)))-3),"")</f>
        <v/>
      </c>
      <c r="B52" s="3" t="s">
        <v>116</v>
      </c>
      <c r="C52" s="26">
        <v>16.579999923706055</v>
      </c>
      <c r="D52" s="8">
        <v>0</v>
      </c>
      <c r="E52" s="7">
        <v>1.1592467427278708E-2</v>
      </c>
      <c r="F52" s="9">
        <v>3.9999849420268032</v>
      </c>
      <c r="G52" s="9">
        <v>0.73683682176379062</v>
      </c>
      <c r="H52" s="8">
        <v>-86.508324253703378</v>
      </c>
      <c r="I52" s="8">
        <v>-61.067577529866689</v>
      </c>
      <c r="J52" s="7">
        <v>-4.6209312390885819E-2</v>
      </c>
      <c r="K52" s="7">
        <v>-9.7179767325847322E-2</v>
      </c>
      <c r="L52" s="7">
        <v>-0.17901132145698498</v>
      </c>
      <c r="M52" s="8">
        <v>21.156285559439368</v>
      </c>
      <c r="N52" s="8">
        <v>34.799230428693178</v>
      </c>
      <c r="O52" s="8">
        <v>-88.528928496240326</v>
      </c>
      <c r="P52" s="8">
        <v>29.146851641996133</v>
      </c>
      <c r="Q52" s="9">
        <v>1.1766675063480792</v>
      </c>
      <c r="R52" s="9">
        <v>1.1711718348945901</v>
      </c>
      <c r="S52" s="8">
        <v>-86.991661632856051</v>
      </c>
      <c r="T52" s="9">
        <v>0.15384642547171581</v>
      </c>
      <c r="U52" s="8">
        <v>80.204737262157209</v>
      </c>
      <c r="V52" s="7">
        <v>-0.14067472618426582</v>
      </c>
      <c r="W52" s="7">
        <v>2.227907328260521E-2</v>
      </c>
      <c r="X52" s="9">
        <v>0.42324273970275811</v>
      </c>
      <c r="Y52" s="9">
        <v>0.35242635427212132</v>
      </c>
      <c r="Z52" s="8">
        <v>30.315838135013184</v>
      </c>
      <c r="AA52" s="8">
        <v>-79.912150476044815</v>
      </c>
      <c r="AB52" s="6">
        <v>0.72071422849382671</v>
      </c>
      <c r="AC52" s="8">
        <v>77.351015755519512</v>
      </c>
      <c r="AD52" s="8">
        <v>0</v>
      </c>
      <c r="AE52" s="8">
        <v>0</v>
      </c>
      <c r="AF52" s="8">
        <v>0</v>
      </c>
      <c r="AG52" s="8">
        <v>0</v>
      </c>
      <c r="AH52" s="8">
        <v>0</v>
      </c>
      <c r="AI52" s="8">
        <v>0</v>
      </c>
    </row>
    <row r="53" spans="1:35" ht="15" x14ac:dyDescent="0.25">
      <c r="A53" s="15" t="str">
        <f>IFERROR(RIGHT(IF(VLOOKUP(B53,Patterns!H:I,2,0)="NO_PATTERN","",VLOOKUP(B53,Patterns!H:I,2,0)),LEN(IF(VLOOKUP(B53,Patterns!H:I,2,0)="NO_PATTERN","",VLOOKUP(B53,Patterns!H:I,2,0)))-3),"")</f>
        <v/>
      </c>
      <c r="B53" s="3" t="s">
        <v>210</v>
      </c>
      <c r="C53" s="26">
        <v>23.809999465942383</v>
      </c>
      <c r="D53" s="8">
        <v>0</v>
      </c>
      <c r="E53" s="7">
        <v>-9.5674476217013638E-3</v>
      </c>
      <c r="F53" s="9">
        <v>57.998664886515357</v>
      </c>
      <c r="G53" s="9">
        <v>18.999618539004388</v>
      </c>
      <c r="H53" s="8">
        <v>-87.040304625215271</v>
      </c>
      <c r="I53" s="8">
        <v>73.175065749306071</v>
      </c>
      <c r="J53" s="7">
        <v>-2.7589941747450358E-2</v>
      </c>
      <c r="K53" s="7">
        <v>-4.3585737453212398E-2</v>
      </c>
      <c r="L53" s="7">
        <v>-5.5630074520509915E-2</v>
      </c>
      <c r="M53" s="8">
        <v>21.141524721077019</v>
      </c>
      <c r="N53" s="8">
        <v>39.051123496241679</v>
      </c>
      <c r="O53" s="8">
        <v>-88.566464217824105</v>
      </c>
      <c r="P53" s="8">
        <v>53.403002944521937</v>
      </c>
      <c r="Q53" s="9">
        <v>1.4007981060236259</v>
      </c>
      <c r="R53" s="9">
        <v>1.3236827698375153</v>
      </c>
      <c r="S53" s="8">
        <v>-86.435084397088104</v>
      </c>
      <c r="T53" s="9">
        <v>9.9217623867370736E-2</v>
      </c>
      <c r="U53" s="8">
        <v>-71.416585243212324</v>
      </c>
      <c r="V53" s="7">
        <v>-7.749112477344218E-2</v>
      </c>
      <c r="W53" s="7">
        <v>2.4362163730538088E-2</v>
      </c>
      <c r="X53" s="9">
        <v>0.29333435446954192</v>
      </c>
      <c r="Y53" s="9">
        <v>0.21555496512752895</v>
      </c>
      <c r="Z53" s="8">
        <v>18.433205680785697</v>
      </c>
      <c r="AA53" s="8">
        <v>-79.873219766549823</v>
      </c>
      <c r="AB53" s="6">
        <v>0.67000021253313335</v>
      </c>
      <c r="AC53" s="8">
        <v>72.356354104906046</v>
      </c>
      <c r="AD53" s="8">
        <v>0</v>
      </c>
      <c r="AE53" s="8">
        <v>0</v>
      </c>
      <c r="AF53" s="8">
        <v>0</v>
      </c>
      <c r="AG53" s="8">
        <v>-1</v>
      </c>
      <c r="AH53" s="8">
        <v>-1</v>
      </c>
      <c r="AI53" s="8">
        <v>0</v>
      </c>
    </row>
    <row r="54" spans="1:35" ht="15" x14ac:dyDescent="0.25">
      <c r="A54" s="15" t="str">
        <f>IFERROR(RIGHT(IF(VLOOKUP(B54,Patterns!H:I,2,0)="NO_PATTERN","",VLOOKUP(B54,Patterns!H:I,2,0)),LEN(IF(VLOOKUP(B54,Patterns!H:I,2,0)="NO_PATTERN","",VLOOKUP(B54,Patterns!H:I,2,0)))-3),"")</f>
        <v>RICKSHAWMAN_Bull</v>
      </c>
      <c r="B54" s="3" t="s">
        <v>206</v>
      </c>
      <c r="C54" s="26">
        <v>40.139999389648438</v>
      </c>
      <c r="D54" s="8">
        <v>1</v>
      </c>
      <c r="E54" s="7">
        <v>-6.6511642101199087E-2</v>
      </c>
      <c r="F54" s="9">
        <v>1.726743670268448</v>
      </c>
      <c r="G54" s="9">
        <v>0</v>
      </c>
      <c r="H54" s="8">
        <v>-84.613911123792022</v>
      </c>
      <c r="I54" s="8">
        <v>4.9542286374239373</v>
      </c>
      <c r="J54" s="7">
        <v>-0.13897802622488017</v>
      </c>
      <c r="K54" s="7">
        <v>-0.39706437771636782</v>
      </c>
      <c r="L54" s="7">
        <v>-0.3929603006468001</v>
      </c>
      <c r="M54" s="8">
        <v>20.728987435091582</v>
      </c>
      <c r="N54" s="8">
        <v>34.898446395974943</v>
      </c>
      <c r="O54" s="8">
        <v>-84.865227653348697</v>
      </c>
      <c r="P54" s="8">
        <v>44.900603392950245</v>
      </c>
      <c r="Q54" s="9">
        <v>1.3990760748081366</v>
      </c>
      <c r="R54" s="9">
        <v>1.0924902877445701</v>
      </c>
      <c r="S54" s="8">
        <v>-86.060354374303103</v>
      </c>
      <c r="T54" s="9">
        <v>0.4327922382050865</v>
      </c>
      <c r="U54" s="8">
        <v>-78.780435725503239</v>
      </c>
      <c r="V54" s="7">
        <v>-0.46146330462544244</v>
      </c>
      <c r="W54" s="7">
        <v>5.852353578811717E-2</v>
      </c>
      <c r="X54" s="9">
        <v>1.2134711510734</v>
      </c>
      <c r="Y54" s="9">
        <v>0.69825453299253526</v>
      </c>
      <c r="Z54" s="8">
        <v>26.651827106114105</v>
      </c>
      <c r="AA54" s="8">
        <v>47.603807714119306</v>
      </c>
      <c r="AB54" s="6">
        <v>4.8671428135463168</v>
      </c>
      <c r="AC54" s="8">
        <v>-74.862879280572898</v>
      </c>
      <c r="AD54" s="8">
        <v>0</v>
      </c>
      <c r="AE54" s="8">
        <v>0</v>
      </c>
      <c r="AF54" s="8">
        <v>0</v>
      </c>
      <c r="AG54" s="8">
        <v>-1</v>
      </c>
      <c r="AH54" s="8">
        <v>0</v>
      </c>
      <c r="AI54" s="8">
        <v>0</v>
      </c>
    </row>
    <row r="55" spans="1:35" ht="15" x14ac:dyDescent="0.25">
      <c r="A55" s="15" t="str">
        <f>IFERROR(RIGHT(IF(VLOOKUP(B55,Patterns!H:I,2,0)="NO_PATTERN","",VLOOKUP(B55,Patterns!H:I,2,0)),LEN(IF(VLOOKUP(B55,Patterns!H:I,2,0)="NO_PATTERN","",VLOOKUP(B55,Patterns!H:I,2,0)))-3),"")</f>
        <v/>
      </c>
      <c r="B55" s="3" t="s">
        <v>112</v>
      </c>
      <c r="C55" s="26">
        <v>65.739997863769531</v>
      </c>
      <c r="D55" s="8">
        <v>0</v>
      </c>
      <c r="E55" s="7">
        <v>5.9678561400866581E-3</v>
      </c>
      <c r="F55" s="9">
        <v>3</v>
      </c>
      <c r="G55" s="9">
        <v>2.1308405883904826</v>
      </c>
      <c r="H55" s="8">
        <v>-84.049691647251862</v>
      </c>
      <c r="I55" s="8">
        <v>-69.998149728677021</v>
      </c>
      <c r="J55" s="7">
        <v>-4.4099129001231363E-2</v>
      </c>
      <c r="K55" s="7">
        <v>-0.15668096354696676</v>
      </c>
      <c r="L55" s="7">
        <v>-0.20701249199493005</v>
      </c>
      <c r="M55" s="8">
        <v>20.419843644220137</v>
      </c>
      <c r="N55" s="8">
        <v>26.3587391166609</v>
      </c>
      <c r="O55" s="8">
        <v>-86.988464671285314</v>
      </c>
      <c r="P55" s="8">
        <v>15.254269292822443</v>
      </c>
      <c r="Q55" s="9">
        <v>0.54493823297705313</v>
      </c>
      <c r="R55" s="9">
        <v>0.43995200706770921</v>
      </c>
      <c r="S55" s="8">
        <v>-85.345627758903717</v>
      </c>
      <c r="T55" s="9">
        <v>0.20863262499980789</v>
      </c>
      <c r="U55" s="8">
        <v>-50.237153932285771</v>
      </c>
      <c r="V55" s="7">
        <v>-0.20515617543879722</v>
      </c>
      <c r="W55" s="7">
        <v>2.2527590136790201E-2</v>
      </c>
      <c r="X55" s="9">
        <v>0.36912748945116125</v>
      </c>
      <c r="Y55" s="9">
        <v>0.41962481246055644</v>
      </c>
      <c r="Z55" s="8">
        <v>32.873228548518007</v>
      </c>
      <c r="AA55" s="8">
        <v>86.668169833592017</v>
      </c>
      <c r="AB55" s="6">
        <v>3.3907138279506137</v>
      </c>
      <c r="AC55" s="8">
        <v>79.385110934176367</v>
      </c>
      <c r="AD55" s="8">
        <v>0</v>
      </c>
      <c r="AE55" s="8">
        <v>0</v>
      </c>
      <c r="AF55" s="8">
        <v>0</v>
      </c>
      <c r="AG55" s="8">
        <v>0</v>
      </c>
      <c r="AH55" s="8">
        <v>0</v>
      </c>
      <c r="AI55" s="8">
        <v>0</v>
      </c>
    </row>
    <row r="56" spans="1:35" ht="15" x14ac:dyDescent="0.25">
      <c r="A56" s="15" t="str">
        <f>IFERROR(RIGHT(IF(VLOOKUP(B56,Patterns!H:I,2,0)="NO_PATTERN","",VLOOKUP(B56,Patterns!H:I,2,0)),LEN(IF(VLOOKUP(B56,Patterns!H:I,2,0)="NO_PATTERN","",VLOOKUP(B56,Patterns!H:I,2,0)))-3),"")</f>
        <v>SPINNINGTOP_Bear</v>
      </c>
      <c r="B56" s="3" t="s">
        <v>222</v>
      </c>
      <c r="C56" s="26">
        <v>8.7100000381469727</v>
      </c>
      <c r="D56" s="8">
        <v>-1</v>
      </c>
      <c r="E56" s="7">
        <v>-1.4705895044906825E-2</v>
      </c>
      <c r="F56" s="9">
        <v>16.666815017325238</v>
      </c>
      <c r="G56" s="9">
        <v>1.3333439298089456</v>
      </c>
      <c r="H56" s="8">
        <v>-84.32425313624195</v>
      </c>
      <c r="I56" s="8">
        <v>64.674703683723877</v>
      </c>
      <c r="J56" s="7">
        <v>-3.2973838673792659E-2</v>
      </c>
      <c r="K56" s="7">
        <v>-0.11119256372502781</v>
      </c>
      <c r="L56" s="7">
        <v>-7.3574554692282246E-2</v>
      </c>
      <c r="M56" s="8">
        <v>20.065718041461992</v>
      </c>
      <c r="N56" s="8">
        <v>38.016705139988865</v>
      </c>
      <c r="O56" s="8">
        <v>-87.351740392497959</v>
      </c>
      <c r="P56" s="8">
        <v>61.994186143656556</v>
      </c>
      <c r="Q56" s="9">
        <v>0.32015961229488754</v>
      </c>
      <c r="R56" s="9">
        <v>0.22576846677145834</v>
      </c>
      <c r="S56" s="8">
        <v>-85.074388821582673</v>
      </c>
      <c r="T56" s="9">
        <v>0.14366481030563977</v>
      </c>
      <c r="U56" s="8">
        <v>-75.431942284561899</v>
      </c>
      <c r="V56" s="7">
        <v>-0.11385660857151421</v>
      </c>
      <c r="W56" s="7">
        <v>3.5440984605186028E-2</v>
      </c>
      <c r="X56" s="9">
        <v>0.4933029285881057</v>
      </c>
      <c r="Y56" s="9">
        <v>0.36226909829458909</v>
      </c>
      <c r="Z56" s="8">
        <v>25.532292886114355</v>
      </c>
      <c r="AA56" s="8">
        <v>-74.112272786605999</v>
      </c>
      <c r="AB56" s="6">
        <v>0.4142857960292271</v>
      </c>
      <c r="AC56" s="8">
        <v>73.211996658299284</v>
      </c>
      <c r="AD56" s="8">
        <v>0</v>
      </c>
      <c r="AE56" s="8">
        <v>0</v>
      </c>
      <c r="AF56" s="8">
        <v>0</v>
      </c>
      <c r="AG56" s="8">
        <v>0</v>
      </c>
      <c r="AH56" s="8">
        <v>-1</v>
      </c>
      <c r="AI56" s="8">
        <v>0</v>
      </c>
    </row>
    <row r="57" spans="1:35" ht="15" x14ac:dyDescent="0.25">
      <c r="A57" s="15" t="str">
        <f>IFERROR(RIGHT(IF(VLOOKUP(B57,Patterns!H:I,2,0)="NO_PATTERN","",VLOOKUP(B57,Patterns!H:I,2,0)),LEN(IF(VLOOKUP(B57,Patterns!H:I,2,0)="NO_PATTERN","",VLOOKUP(B57,Patterns!H:I,2,0)))-3),"")</f>
        <v>CLOSINGMARUBOZU_Bull</v>
      </c>
      <c r="B57" s="3" t="s">
        <v>247</v>
      </c>
      <c r="C57" s="26">
        <v>7.820000171661377</v>
      </c>
      <c r="D57" s="8">
        <v>1</v>
      </c>
      <c r="E57" s="7">
        <v>2.5641000560834293E-3</v>
      </c>
      <c r="F57" s="9">
        <v>1.3181800448226384</v>
      </c>
      <c r="G57" s="9">
        <v>0.81818004482263851</v>
      </c>
      <c r="H57" s="8">
        <v>-82.503207413247267</v>
      </c>
      <c r="I57" s="8">
        <v>-28.803643409049521</v>
      </c>
      <c r="J57" s="7">
        <v>-3.8557830863494534E-2</v>
      </c>
      <c r="K57" s="7">
        <v>-6.2535853691695301E-2</v>
      </c>
      <c r="L57" s="7">
        <v>-0.11652023600652674</v>
      </c>
      <c r="M57" s="8">
        <v>19.785775513888382</v>
      </c>
      <c r="N57" s="8">
        <v>40.914108632456376</v>
      </c>
      <c r="O57" s="8">
        <v>-86.53698580755109</v>
      </c>
      <c r="P57" s="8">
        <v>31.156845231992008</v>
      </c>
      <c r="Q57" s="9">
        <v>1.1224140497097781</v>
      </c>
      <c r="R57" s="9">
        <v>0.96948509990366993</v>
      </c>
      <c r="S57" s="8">
        <v>-64.768719694176767</v>
      </c>
      <c r="T57" s="9">
        <v>0.14696396834973341</v>
      </c>
      <c r="U57" s="8">
        <v>34.0971527692652</v>
      </c>
      <c r="V57" s="7">
        <v>-0.12997018108609995</v>
      </c>
      <c r="W57" s="7">
        <v>2.4727246888833536E-2</v>
      </c>
      <c r="X57" s="9">
        <v>0.57911376210170773</v>
      </c>
      <c r="Y57" s="9">
        <v>0.43054442432325041</v>
      </c>
      <c r="Z57" s="8">
        <v>16.308607580989726</v>
      </c>
      <c r="AA57" s="8">
        <v>-71.976649459007234</v>
      </c>
      <c r="AB57" s="6">
        <v>0.45499995776585173</v>
      </c>
      <c r="AC57" s="8">
        <v>53.523025265843444</v>
      </c>
      <c r="AD57" s="8">
        <v>0</v>
      </c>
      <c r="AE57" s="8">
        <v>0</v>
      </c>
      <c r="AF57" s="8">
        <v>0</v>
      </c>
      <c r="AG57" s="8">
        <v>0</v>
      </c>
      <c r="AH57" s="8">
        <v>0</v>
      </c>
      <c r="AI57" s="8">
        <v>0</v>
      </c>
    </row>
    <row r="58" spans="1:35" ht="15" x14ac:dyDescent="0.25">
      <c r="A58" s="15" t="str">
        <f>IFERROR(RIGHT(IF(VLOOKUP(B58,Patterns!H:I,2,0)="NO_PATTERN","",VLOOKUP(B58,Patterns!H:I,2,0)),LEN(IF(VLOOKUP(B58,Patterns!H:I,2,0)="NO_PATTERN","",VLOOKUP(B58,Patterns!H:I,2,0)))-3),"")</f>
        <v/>
      </c>
      <c r="B58" s="3" t="s">
        <v>188</v>
      </c>
      <c r="C58" s="26">
        <v>9.2600002288818359</v>
      </c>
      <c r="D58" s="8">
        <v>0</v>
      </c>
      <c r="E58" s="7">
        <v>-7.0281105078727424E-2</v>
      </c>
      <c r="F58" s="9">
        <v>0.92307805168624391</v>
      </c>
      <c r="G58" s="9">
        <v>0</v>
      </c>
      <c r="H58" s="8">
        <v>-82.108886903182992</v>
      </c>
      <c r="I58" s="8">
        <v>-6.3379292148191997</v>
      </c>
      <c r="J58" s="7">
        <v>-8.2420547458401827E-2</v>
      </c>
      <c r="K58" s="7">
        <v>-0.21374754813583532</v>
      </c>
      <c r="L58" s="7">
        <v>-0.1016272360489756</v>
      </c>
      <c r="M58" s="8">
        <v>19.530030774668589</v>
      </c>
      <c r="N58" s="8">
        <v>33.438087272263402</v>
      </c>
      <c r="O58" s="8">
        <v>-84.855578769621061</v>
      </c>
      <c r="P58" s="8">
        <v>34.965696798058197</v>
      </c>
      <c r="Q58" s="9">
        <v>0.79361836007009523</v>
      </c>
      <c r="R58" s="9">
        <v>0.80188722528943068</v>
      </c>
      <c r="S58" s="8">
        <v>-71.435774241327223</v>
      </c>
      <c r="T58" s="9">
        <v>0.20532428726899116</v>
      </c>
      <c r="U58" s="8">
        <v>-75.046876050792804</v>
      </c>
      <c r="V58" s="7">
        <v>-0.22179964360649951</v>
      </c>
      <c r="W58" s="7">
        <v>5.7089749283971997E-3</v>
      </c>
      <c r="X58" s="9">
        <v>0.62303833201389125</v>
      </c>
      <c r="Y58" s="9">
        <v>0.68957926321784235</v>
      </c>
      <c r="Z58" s="8">
        <v>20.934629460973628</v>
      </c>
      <c r="AA58" s="8">
        <v>-70.491017824259174</v>
      </c>
      <c r="AB58" s="6">
        <v>0.65214286531720844</v>
      </c>
      <c r="AC58" s="8">
        <v>71.549860931290524</v>
      </c>
      <c r="AD58" s="8">
        <v>0</v>
      </c>
      <c r="AE58" s="8">
        <v>0</v>
      </c>
      <c r="AF58" s="8">
        <v>0</v>
      </c>
      <c r="AG58" s="8">
        <v>0</v>
      </c>
      <c r="AH58" s="8">
        <v>0</v>
      </c>
      <c r="AI58" s="8">
        <v>0</v>
      </c>
    </row>
    <row r="59" spans="1:35" ht="15" x14ac:dyDescent="0.25">
      <c r="A59" s="15" t="str">
        <f>IFERROR(RIGHT(IF(VLOOKUP(B59,Patterns!H:I,2,0)="NO_PATTERN","",VLOOKUP(B59,Patterns!H:I,2,0)),LEN(IF(VLOOKUP(B59,Patterns!H:I,2,0)="NO_PATTERN","",VLOOKUP(B59,Patterns!H:I,2,0)))-3),"")</f>
        <v>HIKKAKE_Bull</v>
      </c>
      <c r="B59" s="3" t="s">
        <v>244</v>
      </c>
      <c r="C59" s="26">
        <v>16.280000686645508</v>
      </c>
      <c r="D59" s="8">
        <v>1</v>
      </c>
      <c r="E59" s="7">
        <v>-1.690813939171476E-2</v>
      </c>
      <c r="F59" s="9">
        <v>16.500158947134182</v>
      </c>
      <c r="G59" s="9">
        <v>3.6666878596178911</v>
      </c>
      <c r="H59" s="8">
        <v>-82.299321343863568</v>
      </c>
      <c r="I59" s="8">
        <v>6.4324769654972505</v>
      </c>
      <c r="J59" s="7">
        <v>-4.7783680456503982E-2</v>
      </c>
      <c r="K59" s="7">
        <v>-0.10632340753232832</v>
      </c>
      <c r="L59" s="7">
        <v>-0.28264645865478133</v>
      </c>
      <c r="M59" s="8">
        <v>19.357848666240059</v>
      </c>
      <c r="N59" s="8">
        <v>38.064197492627621</v>
      </c>
      <c r="O59" s="8">
        <v>-88.058083890285403</v>
      </c>
      <c r="P59" s="8">
        <v>53.456010508125871</v>
      </c>
      <c r="Q59" s="9">
        <v>1.5784978134669974</v>
      </c>
      <c r="R59" s="9">
        <v>1.2414965986394559</v>
      </c>
      <c r="S59" s="8">
        <v>-85.738595395505058</v>
      </c>
      <c r="T59" s="9">
        <v>0.14117867803577616</v>
      </c>
      <c r="U59" s="8">
        <v>41.984259162291664</v>
      </c>
      <c r="V59" s="7">
        <v>-0.13598862067512918</v>
      </c>
      <c r="W59" s="7">
        <v>1.381426441405236E-2</v>
      </c>
      <c r="X59" s="9">
        <v>0.49619452436881351</v>
      </c>
      <c r="Y59" s="9">
        <v>0.45242330200314312</v>
      </c>
      <c r="Z59" s="8">
        <v>14.733518709317709</v>
      </c>
      <c r="AA59" s="8">
        <v>36.739809593393936</v>
      </c>
      <c r="AB59" s="6">
        <v>0.73357125691005165</v>
      </c>
      <c r="AC59" s="8">
        <v>-46.723534298261178</v>
      </c>
      <c r="AD59" s="8">
        <v>0</v>
      </c>
      <c r="AE59" s="8">
        <v>0</v>
      </c>
      <c r="AF59" s="8">
        <v>0</v>
      </c>
      <c r="AG59" s="8">
        <v>-1</v>
      </c>
      <c r="AH59" s="8">
        <v>-1</v>
      </c>
      <c r="AI59" s="8">
        <v>0</v>
      </c>
    </row>
    <row r="60" spans="1:35" ht="15" x14ac:dyDescent="0.25">
      <c r="A60" s="15" t="str">
        <f>IFERROR(RIGHT(IF(VLOOKUP(B60,Patterns!H:I,2,0)="NO_PATTERN","",VLOOKUP(B60,Patterns!H:I,2,0)),LEN(IF(VLOOKUP(B60,Patterns!H:I,2,0)="NO_PATTERN","",VLOOKUP(B60,Patterns!H:I,2,0)))-3),"")</f>
        <v>SPINNINGTOP_Bear</v>
      </c>
      <c r="B60" s="3" t="s">
        <v>128</v>
      </c>
      <c r="C60" s="26">
        <v>26.309999465942383</v>
      </c>
      <c r="D60" s="8">
        <v>-1</v>
      </c>
      <c r="E60" s="7">
        <v>-4.5355588687318482E-2</v>
      </c>
      <c r="F60" s="9">
        <v>0.55405401922298714</v>
      </c>
      <c r="G60" s="9">
        <v>0.48648746175635932</v>
      </c>
      <c r="H60" s="8">
        <v>-74.407026239459285</v>
      </c>
      <c r="I60" s="8">
        <v>61.351263733507338</v>
      </c>
      <c r="J60" s="7">
        <v>-4.8316984461337593E-2</v>
      </c>
      <c r="K60" s="7">
        <v>-7.1277240435829101E-2</v>
      </c>
      <c r="L60" s="7">
        <v>-8.8155300143767282E-2</v>
      </c>
      <c r="M60" s="8">
        <v>19.195231694270177</v>
      </c>
      <c r="N60" s="8">
        <v>44.762650710075683</v>
      </c>
      <c r="O60" s="8">
        <v>-87.189935261671948</v>
      </c>
      <c r="P60" s="8">
        <v>48.966927293851569</v>
      </c>
      <c r="Q60" s="9">
        <v>-0.26598834902141311</v>
      </c>
      <c r="R60" s="9">
        <v>4.0317244037906264E-3</v>
      </c>
      <c r="S60" s="8">
        <v>-75.805184020693929</v>
      </c>
      <c r="T60" s="9">
        <v>0.27268710029379839</v>
      </c>
      <c r="U60" s="8">
        <v>26.753875918184256</v>
      </c>
      <c r="V60" s="7">
        <v>-0.15053166005080629</v>
      </c>
      <c r="W60" s="7">
        <v>0.12556014522666187</v>
      </c>
      <c r="X60" s="9">
        <v>0.72380719138500549</v>
      </c>
      <c r="Y60" s="9">
        <v>0.88338017339619457</v>
      </c>
      <c r="Z60" s="8">
        <v>23.386777046699528</v>
      </c>
      <c r="AA60" s="8">
        <v>-83.031867193321872</v>
      </c>
      <c r="AB60" s="6">
        <v>1.7999999182564872</v>
      </c>
      <c r="AC60" s="8">
        <v>41.870402765976067</v>
      </c>
      <c r="AD60" s="8">
        <v>0</v>
      </c>
      <c r="AE60" s="8">
        <v>0</v>
      </c>
      <c r="AF60" s="8">
        <v>0</v>
      </c>
      <c r="AG60" s="8">
        <v>0</v>
      </c>
      <c r="AH60" s="8">
        <v>-1</v>
      </c>
      <c r="AI60" s="8">
        <v>0</v>
      </c>
    </row>
    <row r="61" spans="1:35" ht="15" x14ac:dyDescent="0.25">
      <c r="A61" s="15" t="str">
        <f>IFERROR(RIGHT(IF(VLOOKUP(B61,Patterns!H:I,2,0)="NO_PATTERN","",VLOOKUP(B61,Patterns!H:I,2,0)),LEN(IF(VLOOKUP(B61,Patterns!H:I,2,0)="NO_PATTERN","",VLOOKUP(B61,Patterns!H:I,2,0)))-3),"")</f>
        <v>HIKKAKE_Bear</v>
      </c>
      <c r="B61" s="3" t="s">
        <v>237</v>
      </c>
      <c r="C61" s="26">
        <v>1.3700000047683716</v>
      </c>
      <c r="D61" s="8">
        <v>-1</v>
      </c>
      <c r="E61" s="7">
        <v>-1.4388475634778741E-2</v>
      </c>
      <c r="F61" s="9">
        <v>3.0000059604701619</v>
      </c>
      <c r="G61" s="9">
        <v>1.5</v>
      </c>
      <c r="H61" s="8">
        <v>-80.648342313516025</v>
      </c>
      <c r="I61" s="8">
        <v>-18.56945014033672</v>
      </c>
      <c r="J61" s="7">
        <v>-4.181233575963423E-2</v>
      </c>
      <c r="K61" s="7">
        <v>-0.10811435655331965</v>
      </c>
      <c r="L61" s="7">
        <v>-0.1765712777675881</v>
      </c>
      <c r="M61" s="8">
        <v>19.12880354289095</v>
      </c>
      <c r="N61" s="8">
        <v>37.994666962227178</v>
      </c>
      <c r="O61" s="8">
        <v>-87.471160491813563</v>
      </c>
      <c r="P61" s="8">
        <v>32.885819688512377</v>
      </c>
      <c r="Q61" s="9">
        <v>-1.5379654863230674E-2</v>
      </c>
      <c r="R61" s="9">
        <v>0.26730981270993714</v>
      </c>
      <c r="S61" s="8">
        <v>-19.051445909240236</v>
      </c>
      <c r="T61" s="9">
        <v>8.3172644966323289E-2</v>
      </c>
      <c r="U61" s="8">
        <v>-85.764332848629493</v>
      </c>
      <c r="V61" s="7">
        <v>-9.2905361879447076E-2</v>
      </c>
      <c r="W61" s="7">
        <v>-5.6347942046686729E-3</v>
      </c>
      <c r="X61" s="9">
        <v>0.53368799076040918</v>
      </c>
      <c r="Y61" s="9">
        <v>0.70688565515126323</v>
      </c>
      <c r="Z61" s="8">
        <v>15.092071569096294</v>
      </c>
      <c r="AA61" s="8">
        <v>81.620411901370488</v>
      </c>
      <c r="AB61" s="6">
        <v>7.6428600719996867E-2</v>
      </c>
      <c r="AC61" s="8">
        <v>73.986742158895851</v>
      </c>
      <c r="AD61" s="8">
        <v>0</v>
      </c>
      <c r="AE61" s="8">
        <v>0</v>
      </c>
      <c r="AF61" s="8">
        <v>0</v>
      </c>
      <c r="AG61" s="8">
        <v>-1</v>
      </c>
      <c r="AH61" s="8">
        <v>0</v>
      </c>
      <c r="AI61" s="8">
        <v>0</v>
      </c>
    </row>
    <row r="62" spans="1:35" ht="15" x14ac:dyDescent="0.25">
      <c r="A62" s="15" t="str">
        <f>IFERROR(RIGHT(IF(VLOOKUP(B62,Patterns!H:I,2,0)="NO_PATTERN","",VLOOKUP(B62,Patterns!H:I,2,0)),LEN(IF(VLOOKUP(B62,Patterns!H:I,2,0)="NO_PATTERN","",VLOOKUP(B62,Patterns!H:I,2,0)))-3),"")</f>
        <v>CLOSINGMARUBOZU_Bull</v>
      </c>
      <c r="B62" s="3" t="s">
        <v>106</v>
      </c>
      <c r="C62" s="26">
        <v>10.529999732971191</v>
      </c>
      <c r="D62" s="8">
        <v>1</v>
      </c>
      <c r="E62" s="7">
        <v>-2.8597824285333751E-2</v>
      </c>
      <c r="F62" s="9">
        <v>1.3846128452481385</v>
      </c>
      <c r="G62" s="9">
        <v>0</v>
      </c>
      <c r="H62" s="8">
        <v>-85.174262334128514</v>
      </c>
      <c r="I62" s="8">
        <v>-69.447573733407822</v>
      </c>
      <c r="J62" s="7">
        <v>-4.2522126746524946E-2</v>
      </c>
      <c r="K62" s="7">
        <v>-5.7263159736817178E-2</v>
      </c>
      <c r="L62" s="7">
        <v>-3.4239568641757007E-2</v>
      </c>
      <c r="M62" s="8">
        <v>19.024970697932659</v>
      </c>
      <c r="N62" s="8">
        <v>35.774908258112674</v>
      </c>
      <c r="O62" s="8">
        <v>-87.69207061364223</v>
      </c>
      <c r="P62" s="8">
        <v>33.003608695516441</v>
      </c>
      <c r="Q62" s="9">
        <v>0.76208005749174434</v>
      </c>
      <c r="R62" s="9">
        <v>0.65443378610688008</v>
      </c>
      <c r="S62" s="8">
        <v>-85.512655774643704</v>
      </c>
      <c r="T62" s="9">
        <v>7.5402656444434418E-2</v>
      </c>
      <c r="U62" s="8">
        <v>-50.711071440158797</v>
      </c>
      <c r="V62" s="7">
        <v>-9.7519460980355396E-2</v>
      </c>
      <c r="W62" s="7">
        <v>-1.7770230053611377E-2</v>
      </c>
      <c r="X62" s="9">
        <v>0.32724344340786082</v>
      </c>
      <c r="Y62" s="9">
        <v>0.2887854182671335</v>
      </c>
      <c r="Z62" s="8">
        <v>15.270086979703517</v>
      </c>
      <c r="AA62" s="8">
        <v>14.586269918030835</v>
      </c>
      <c r="AB62" s="6">
        <v>0.34214285441807341</v>
      </c>
      <c r="AC62" s="8">
        <v>80.437533218045189</v>
      </c>
      <c r="AD62" s="8">
        <v>0</v>
      </c>
      <c r="AE62" s="8">
        <v>0</v>
      </c>
      <c r="AF62" s="8">
        <v>0</v>
      </c>
      <c r="AG62" s="8">
        <v>0</v>
      </c>
      <c r="AH62" s="8">
        <v>0</v>
      </c>
      <c r="AI62" s="8">
        <v>0</v>
      </c>
    </row>
    <row r="63" spans="1:35" ht="15" x14ac:dyDescent="0.25">
      <c r="A63" s="15" t="str">
        <f>IFERROR(RIGHT(IF(VLOOKUP(B63,Patterns!H:I,2,0)="NO_PATTERN","",VLOOKUP(B63,Patterns!H:I,2,0)),LEN(IF(VLOOKUP(B63,Patterns!H:I,2,0)="NO_PATTERN","",VLOOKUP(B63,Patterns!H:I,2,0)))-3),"")</f>
        <v>BELTHOLD_Bear</v>
      </c>
      <c r="B63" s="3" t="s">
        <v>121</v>
      </c>
      <c r="C63" s="26">
        <v>14.350000381469727</v>
      </c>
      <c r="D63" s="8">
        <v>-1</v>
      </c>
      <c r="E63" s="7">
        <v>1.3418116956571913E-2</v>
      </c>
      <c r="F63" s="9">
        <v>0.93333184984089546</v>
      </c>
      <c r="G63" s="9">
        <v>0.83333280351460548</v>
      </c>
      <c r="H63" s="8">
        <v>-85.113140729390111</v>
      </c>
      <c r="I63" s="8">
        <v>-69.617659971544469</v>
      </c>
      <c r="J63" s="7">
        <v>-6.5907433911791838E-2</v>
      </c>
      <c r="K63" s="7">
        <v>-0.13406827514663128</v>
      </c>
      <c r="L63" s="7">
        <v>-0.12157251499338205</v>
      </c>
      <c r="M63" s="8">
        <v>18.872027551261681</v>
      </c>
      <c r="N63" s="8">
        <v>34.121270286701844</v>
      </c>
      <c r="O63" s="8">
        <v>-88.073076154598581</v>
      </c>
      <c r="P63" s="8">
        <v>17.745028001983496</v>
      </c>
      <c r="Q63" s="9">
        <v>0.45757787483615298</v>
      </c>
      <c r="R63" s="9">
        <v>0.39697032102336682</v>
      </c>
      <c r="S63" s="8">
        <v>-81.820658749921208</v>
      </c>
      <c r="T63" s="9">
        <v>0.18617187006422109</v>
      </c>
      <c r="U63" s="8">
        <v>-66.629175955807753</v>
      </c>
      <c r="V63" s="7">
        <v>-0.20597465076772226</v>
      </c>
      <c r="W63" s="7">
        <v>-5.7583555299960023E-4</v>
      </c>
      <c r="X63" s="9">
        <v>0.64793693493943583</v>
      </c>
      <c r="Y63" s="9">
        <v>0.49829888808786538</v>
      </c>
      <c r="Z63" s="8">
        <v>17.979071349448073</v>
      </c>
      <c r="AA63" s="8">
        <v>78.745985772069332</v>
      </c>
      <c r="AB63" s="6">
        <v>0.82500014986310688</v>
      </c>
      <c r="AC63" s="8">
        <v>-17.773458698554403</v>
      </c>
      <c r="AD63" s="8">
        <v>0</v>
      </c>
      <c r="AE63" s="8">
        <v>0</v>
      </c>
      <c r="AF63" s="8">
        <v>0</v>
      </c>
      <c r="AG63" s="8">
        <v>0</v>
      </c>
      <c r="AH63" s="8">
        <v>0</v>
      </c>
      <c r="AI63" s="8">
        <v>0</v>
      </c>
    </row>
    <row r="64" spans="1:35" ht="15" x14ac:dyDescent="0.25">
      <c r="A64" s="15" t="str">
        <f>IFERROR(RIGHT(IF(VLOOKUP(B64,Patterns!H:I,2,0)="NO_PATTERN","",VLOOKUP(B64,Patterns!H:I,2,0)),LEN(IF(VLOOKUP(B64,Patterns!H:I,2,0)="NO_PATTERN","",VLOOKUP(B64,Patterns!H:I,2,0)))-3),"")</f>
        <v>BELTHOLD_Bull</v>
      </c>
      <c r="B64" s="3" t="s">
        <v>94</v>
      </c>
      <c r="C64" s="26">
        <v>28.909999847412109</v>
      </c>
      <c r="D64" s="8">
        <v>1</v>
      </c>
      <c r="E64" s="7">
        <v>-3.0516427120220735E-2</v>
      </c>
      <c r="F64" s="9">
        <v>1.3698638727039949</v>
      </c>
      <c r="G64" s="9">
        <v>0</v>
      </c>
      <c r="H64" s="8">
        <v>-85.068001482967745</v>
      </c>
      <c r="I64" s="8">
        <v>7.1506810121317015</v>
      </c>
      <c r="J64" s="7">
        <v>-4.9991285389800535E-2</v>
      </c>
      <c r="K64" s="7">
        <v>-4.2607640614336265E-2</v>
      </c>
      <c r="L64" s="7">
        <v>-6.9941212047709214E-2</v>
      </c>
      <c r="M64" s="8">
        <v>18.786179692744966</v>
      </c>
      <c r="N64" s="8">
        <v>39.142336844557938</v>
      </c>
      <c r="O64" s="8">
        <v>-88.632736307578611</v>
      </c>
      <c r="P64" s="8">
        <v>52.155082519686438</v>
      </c>
      <c r="Q64" s="9">
        <v>0.94064530808778968</v>
      </c>
      <c r="R64" s="9">
        <v>1.1035961318174281</v>
      </c>
      <c r="S64" s="8">
        <v>-85.990386887296509</v>
      </c>
      <c r="T64" s="9">
        <v>0.12258372901608902</v>
      </c>
      <c r="U64" s="8">
        <v>-62.214682585023837</v>
      </c>
      <c r="V64" s="7">
        <v>-0.10932716080990848</v>
      </c>
      <c r="W64" s="7">
        <v>1.880484944906442E-2</v>
      </c>
      <c r="X64" s="9">
        <v>0.3886379402025929</v>
      </c>
      <c r="Y64" s="9">
        <v>0.33585213053234664</v>
      </c>
      <c r="Z64" s="8">
        <v>21.100720658539196</v>
      </c>
      <c r="AA64" s="8">
        <v>-71.224811723633209</v>
      </c>
      <c r="AB64" s="6">
        <v>1.1142854690551758</v>
      </c>
      <c r="AC64" s="8">
        <v>80.258368031437442</v>
      </c>
      <c r="AD64" s="8">
        <v>0</v>
      </c>
      <c r="AE64" s="8">
        <v>0</v>
      </c>
      <c r="AF64" s="8">
        <v>0</v>
      </c>
      <c r="AG64" s="8">
        <v>-1</v>
      </c>
      <c r="AH64" s="8">
        <v>-1</v>
      </c>
      <c r="AI64" s="8">
        <v>0</v>
      </c>
    </row>
    <row r="65" spans="1:35" ht="15" x14ac:dyDescent="0.25">
      <c r="A65" s="15" t="str">
        <f>IFERROR(RIGHT(IF(VLOOKUP(B65,Patterns!H:I,2,0)="NO_PATTERN","",VLOOKUP(B65,Patterns!H:I,2,0)),LEN(IF(VLOOKUP(B65,Patterns!H:I,2,0)="NO_PATTERN","",VLOOKUP(B65,Patterns!H:I,2,0)))-3),"")</f>
        <v/>
      </c>
      <c r="B65" s="3" t="s">
        <v>189</v>
      </c>
      <c r="C65" s="26">
        <v>17.020000457763672</v>
      </c>
      <c r="D65" s="8">
        <v>0</v>
      </c>
      <c r="E65" s="7">
        <v>-4.3820158018483268E-2</v>
      </c>
      <c r="F65" s="9">
        <v>0.6086969742203352</v>
      </c>
      <c r="G65" s="9">
        <v>2.8986228362607048E-2</v>
      </c>
      <c r="H65" s="8">
        <v>-86.074352497253827</v>
      </c>
      <c r="I65" s="8">
        <v>69.881797488934126</v>
      </c>
      <c r="J65" s="7">
        <v>-4.9857708040729212E-2</v>
      </c>
      <c r="K65" s="7">
        <v>1.0114215280675696E-2</v>
      </c>
      <c r="L65" s="7">
        <v>0.1238750231135662</v>
      </c>
      <c r="M65" s="8">
        <v>18.767231484098531</v>
      </c>
      <c r="N65" s="8">
        <v>41.533753317675043</v>
      </c>
      <c r="O65" s="8">
        <v>-88.925831807676815</v>
      </c>
      <c r="P65" s="8">
        <v>64.081615529371661</v>
      </c>
      <c r="Q65" s="9">
        <v>0.83933909125046924</v>
      </c>
      <c r="R65" s="9">
        <v>1.3600017345301589</v>
      </c>
      <c r="S65" s="8">
        <v>-84.387754228508385</v>
      </c>
      <c r="T65" s="9">
        <v>0.14853591228122062</v>
      </c>
      <c r="U65" s="8">
        <v>-53.426285634774956</v>
      </c>
      <c r="V65" s="7">
        <v>-0.11198091825926958</v>
      </c>
      <c r="W65" s="7">
        <v>4.1769455833924655E-2</v>
      </c>
      <c r="X65" s="9">
        <v>0.37292486611851761</v>
      </c>
      <c r="Y65" s="9">
        <v>0.32482609521203759</v>
      </c>
      <c r="Z65" s="8">
        <v>32.714756433200613</v>
      </c>
      <c r="AA65" s="8">
        <v>-82.720717314729228</v>
      </c>
      <c r="AB65" s="6">
        <v>0.67999976021902897</v>
      </c>
      <c r="AC65" s="8">
        <v>86.281639020978147</v>
      </c>
      <c r="AD65" s="8">
        <v>0</v>
      </c>
      <c r="AE65" s="8">
        <v>0</v>
      </c>
      <c r="AF65" s="8">
        <v>0</v>
      </c>
      <c r="AG65" s="8">
        <v>-1</v>
      </c>
      <c r="AH65" s="8">
        <v>-1</v>
      </c>
      <c r="AI65" s="8">
        <v>0</v>
      </c>
    </row>
    <row r="66" spans="1:35" ht="15" x14ac:dyDescent="0.25">
      <c r="A66" s="15" t="str">
        <f>IFERROR(RIGHT(IF(VLOOKUP(B66,Patterns!H:I,2,0)="NO_PATTERN","",VLOOKUP(B66,Patterns!H:I,2,0)),LEN(IF(VLOOKUP(B66,Patterns!H:I,2,0)="NO_PATTERN","",VLOOKUP(B66,Patterns!H:I,2,0)))-3),"")</f>
        <v/>
      </c>
      <c r="B66" s="3" t="s">
        <v>243</v>
      </c>
      <c r="C66" s="26">
        <v>22.329999923706055</v>
      </c>
      <c r="D66" s="8">
        <v>0</v>
      </c>
      <c r="E66" s="7">
        <v>-5.9789476896587201E-2</v>
      </c>
      <c r="F66" s="9">
        <v>1.2403825697832227</v>
      </c>
      <c r="G66" s="9">
        <v>0.58653669808898512</v>
      </c>
      <c r="H66" s="8">
        <v>-82.606041437601249</v>
      </c>
      <c r="I66" s="8">
        <v>77.70687335379084</v>
      </c>
      <c r="J66" s="7">
        <v>-3.6836917448453722E-2</v>
      </c>
      <c r="K66" s="7">
        <v>-2.4284464145257614E-2</v>
      </c>
      <c r="L66" s="7">
        <v>4.6861034342486937E-2</v>
      </c>
      <c r="M66" s="8">
        <v>18.679880648149265</v>
      </c>
      <c r="N66" s="8">
        <v>46.759709194415699</v>
      </c>
      <c r="O66" s="8">
        <v>-88.008802119550523</v>
      </c>
      <c r="P66" s="8">
        <v>80.038472945594563</v>
      </c>
      <c r="Q66" s="9">
        <v>1.207072006223767</v>
      </c>
      <c r="R66" s="9">
        <v>1.6635728961167726</v>
      </c>
      <c r="S66" s="8">
        <v>-81.112860291502599</v>
      </c>
      <c r="T66" s="9">
        <v>0.23361922033015492</v>
      </c>
      <c r="U66" s="8">
        <v>76.767922328445408</v>
      </c>
      <c r="V66" s="7">
        <v>-0.110307816250862</v>
      </c>
      <c r="W66" s="7">
        <v>0.12195132980059663</v>
      </c>
      <c r="X66" s="9">
        <v>0.49572204540957598</v>
      </c>
      <c r="Y66" s="9">
        <v>0.62956343909482648</v>
      </c>
      <c r="Z66" s="8">
        <v>16.958989486479101</v>
      </c>
      <c r="AA66" s="8">
        <v>54.273672697308875</v>
      </c>
      <c r="AB66" s="6">
        <v>1.351428713117327</v>
      </c>
      <c r="AC66" s="8">
        <v>84.994826967133918</v>
      </c>
      <c r="AD66" s="8">
        <v>0</v>
      </c>
      <c r="AE66" s="8">
        <v>0</v>
      </c>
      <c r="AF66" s="8">
        <v>0</v>
      </c>
      <c r="AG66" s="8">
        <v>0</v>
      </c>
      <c r="AH66" s="8">
        <v>-1</v>
      </c>
      <c r="AI66" s="8">
        <v>0</v>
      </c>
    </row>
    <row r="67" spans="1:35" ht="15" x14ac:dyDescent="0.25">
      <c r="A67" s="15" t="str">
        <f>IFERROR(RIGHT(IF(VLOOKUP(B67,Patterns!H:I,2,0)="NO_PATTERN","",VLOOKUP(B67,Patterns!H:I,2,0)),LEN(IF(VLOOKUP(B67,Patterns!H:I,2,0)="NO_PATTERN","",VLOOKUP(B67,Patterns!H:I,2,0)))-3),"")</f>
        <v>LONGLEGGEDDOJI_Bull</v>
      </c>
      <c r="B67" s="3" t="s">
        <v>183</v>
      </c>
      <c r="C67" s="26">
        <v>46.299999237060547</v>
      </c>
      <c r="D67" s="8">
        <v>1</v>
      </c>
      <c r="E67" s="7">
        <v>2.1644691010764827E-3</v>
      </c>
      <c r="F67" s="9">
        <v>10.038528691110232</v>
      </c>
      <c r="G67" s="9">
        <v>2.3846266707748285</v>
      </c>
      <c r="H67" s="8">
        <v>-82.475274845710203</v>
      </c>
      <c r="I67" s="8">
        <v>19.895147298556896</v>
      </c>
      <c r="J67" s="7">
        <v>-2.0549490398852208E-2</v>
      </c>
      <c r="K67" s="7">
        <v>1.4506752386128804E-2</v>
      </c>
      <c r="L67" s="7">
        <v>8.1049397028645345E-2</v>
      </c>
      <c r="M67" s="8">
        <v>18.115506271503151</v>
      </c>
      <c r="N67" s="8">
        <v>47.578209395719497</v>
      </c>
      <c r="O67" s="8">
        <v>-88.254467480821546</v>
      </c>
      <c r="P67" s="8">
        <v>62.730226854023321</v>
      </c>
      <c r="Q67" s="9">
        <v>0.60384189650401243</v>
      </c>
      <c r="R67" s="9">
        <v>0.53803285975393322</v>
      </c>
      <c r="S67" s="8">
        <v>-72.709149650709648</v>
      </c>
      <c r="T67" s="9">
        <v>0.20663023981921586</v>
      </c>
      <c r="U67" s="8">
        <v>-86.151199577518952</v>
      </c>
      <c r="V67" s="7">
        <v>-0.10407768778241641</v>
      </c>
      <c r="W67" s="7">
        <v>0.10269536670469755</v>
      </c>
      <c r="X67" s="9">
        <v>0.39576220481771929</v>
      </c>
      <c r="Y67" s="9">
        <v>0.38341751314541861</v>
      </c>
      <c r="Z67" s="8">
        <v>23.121028556945408</v>
      </c>
      <c r="AA67" s="8">
        <v>-78.522607244895099</v>
      </c>
      <c r="AB67" s="6">
        <v>1.9357136317661829</v>
      </c>
      <c r="AC67" s="8">
        <v>-66.344999616516361</v>
      </c>
      <c r="AD67" s="8">
        <v>0</v>
      </c>
      <c r="AE67" s="8">
        <v>0</v>
      </c>
      <c r="AF67" s="8">
        <v>0</v>
      </c>
      <c r="AG67" s="8">
        <v>0</v>
      </c>
      <c r="AH67" s="8">
        <v>-1</v>
      </c>
      <c r="AI67" s="8">
        <v>0</v>
      </c>
    </row>
    <row r="68" spans="1:35" ht="15" x14ac:dyDescent="0.25">
      <c r="A68" s="15" t="str">
        <f>IFERROR(RIGHT(IF(VLOOKUP(B68,Patterns!H:I,2,0)="NO_PATTERN","",VLOOKUP(B68,Patterns!H:I,2,0)),LEN(IF(VLOOKUP(B68,Patterns!H:I,2,0)="NO_PATTERN","",VLOOKUP(B68,Patterns!H:I,2,0)))-3),"")</f>
        <v>SPINNINGTOP_Bull</v>
      </c>
      <c r="B68" s="3" t="s">
        <v>214</v>
      </c>
      <c r="C68" s="26">
        <v>3.440000057220459</v>
      </c>
      <c r="D68" s="8">
        <v>1</v>
      </c>
      <c r="E68" s="7">
        <v>-3.0985886358689374E-2</v>
      </c>
      <c r="F68" s="9">
        <v>1.5000023841880648</v>
      </c>
      <c r="G68" s="9">
        <v>0</v>
      </c>
      <c r="H68" s="8">
        <v>-81.023576984564087</v>
      </c>
      <c r="I68" s="8">
        <v>-39.756286227912391</v>
      </c>
      <c r="J68" s="7">
        <v>-5.8670408565829356E-2</v>
      </c>
      <c r="K68" s="7">
        <v>-0.13853900341429659</v>
      </c>
      <c r="L68" s="7">
        <v>-0.32395429054110708</v>
      </c>
      <c r="M68" s="8">
        <v>17.498914903197488</v>
      </c>
      <c r="N68" s="8">
        <v>32.790202327619696</v>
      </c>
      <c r="O68" s="8">
        <v>-88.060118575744184</v>
      </c>
      <c r="P68" s="8">
        <v>24.958209044034088</v>
      </c>
      <c r="Q68" s="9">
        <v>0.80133153222693942</v>
      </c>
      <c r="R68" s="9">
        <v>0.97723987100122334</v>
      </c>
      <c r="S68" s="8">
        <v>-74.486268099129063</v>
      </c>
      <c r="T68" s="9">
        <v>0.12036475444712044</v>
      </c>
      <c r="U68" s="8">
        <v>71.663923650741594</v>
      </c>
      <c r="V68" s="7">
        <v>-0.14940410779440277</v>
      </c>
      <c r="W68" s="7">
        <v>-1.8909820993018314E-2</v>
      </c>
      <c r="X68" s="9">
        <v>0.38292557863550269</v>
      </c>
      <c r="Y68" s="9">
        <v>0.38954239439925692</v>
      </c>
      <c r="Z68" s="8">
        <v>20.930427806548408</v>
      </c>
      <c r="AA68" s="8">
        <v>-68.428626823544732</v>
      </c>
      <c r="AB68" s="6">
        <v>0.13714277744293213</v>
      </c>
      <c r="AC68" s="8">
        <v>72.040263321028078</v>
      </c>
      <c r="AD68" s="8">
        <v>0</v>
      </c>
      <c r="AE68" s="8">
        <v>0</v>
      </c>
      <c r="AF68" s="8">
        <v>0</v>
      </c>
      <c r="AG68" s="8">
        <v>-1</v>
      </c>
      <c r="AH68" s="8">
        <v>0</v>
      </c>
      <c r="AI68" s="8">
        <v>0</v>
      </c>
    </row>
    <row r="69" spans="1:35" ht="15" x14ac:dyDescent="0.25">
      <c r="A69" s="15" t="str">
        <f>IFERROR(RIGHT(IF(VLOOKUP(B69,Patterns!H:I,2,0)="NO_PATTERN","",VLOOKUP(B69,Patterns!H:I,2,0)),LEN(IF(VLOOKUP(B69,Patterns!H:I,2,0)="NO_PATTERN","",VLOOKUP(B69,Patterns!H:I,2,0)))-3),"")</f>
        <v>BELTHOLD_Bull</v>
      </c>
      <c r="B69" s="3" t="s">
        <v>101</v>
      </c>
      <c r="C69" s="26">
        <v>27.899999618530273</v>
      </c>
      <c r="D69" s="8">
        <v>1</v>
      </c>
      <c r="E69" s="7">
        <v>-1.9676721150982401E-2</v>
      </c>
      <c r="F69" s="9">
        <v>5.3999790192450741</v>
      </c>
      <c r="G69" s="9">
        <v>1.2999961853172863</v>
      </c>
      <c r="H69" s="8">
        <v>-84.74947640847239</v>
      </c>
      <c r="I69" s="8">
        <v>-55.534399118707022</v>
      </c>
      <c r="J69" s="7">
        <v>-4.1354979349684677E-2</v>
      </c>
      <c r="K69" s="7">
        <v>-7.039488919571099E-3</v>
      </c>
      <c r="L69" s="7">
        <v>7.5217693050080539E-2</v>
      </c>
      <c r="M69" s="8">
        <v>16.976952720009308</v>
      </c>
      <c r="N69" s="8">
        <v>39.254559282875732</v>
      </c>
      <c r="O69" s="8">
        <v>-88.633950131172384</v>
      </c>
      <c r="P69" s="8">
        <v>42.724193013602267</v>
      </c>
      <c r="Q69" s="9">
        <v>1.022990833894541</v>
      </c>
      <c r="R69" s="9">
        <v>1.3011000323136463</v>
      </c>
      <c r="S69" s="8">
        <v>-83.730664153128203</v>
      </c>
      <c r="T69" s="9">
        <v>0.12669534928820944</v>
      </c>
      <c r="U69" s="8">
        <v>-82.054609555132558</v>
      </c>
      <c r="V69" s="7">
        <v>-0.10736799383816634</v>
      </c>
      <c r="W69" s="7">
        <v>2.457227190498975E-2</v>
      </c>
      <c r="X69" s="9">
        <v>0.33188397057559998</v>
      </c>
      <c r="Y69" s="9">
        <v>0.45041910408474917</v>
      </c>
      <c r="Z69" s="8">
        <v>20.648222518535032</v>
      </c>
      <c r="AA69" s="8">
        <v>-83.512336781845889</v>
      </c>
      <c r="AB69" s="6">
        <v>0.99357114519391743</v>
      </c>
      <c r="AC69" s="8">
        <v>78.291476349056481</v>
      </c>
      <c r="AD69" s="8">
        <v>0</v>
      </c>
      <c r="AE69" s="8">
        <v>0</v>
      </c>
      <c r="AF69" s="8">
        <v>0</v>
      </c>
      <c r="AG69" s="8">
        <v>0</v>
      </c>
      <c r="AH69" s="8">
        <v>0</v>
      </c>
      <c r="AI69" s="8">
        <v>0</v>
      </c>
    </row>
    <row r="70" spans="1:35" ht="15" x14ac:dyDescent="0.25">
      <c r="A70" s="15" t="str">
        <f>IFERROR(RIGHT(IF(VLOOKUP(B70,Patterns!H:I,2,0)="NO_PATTERN","",VLOOKUP(B70,Patterns!H:I,2,0)),LEN(IF(VLOOKUP(B70,Patterns!H:I,2,0)="NO_PATTERN","",VLOOKUP(B70,Patterns!H:I,2,0)))-3),"")</f>
        <v/>
      </c>
      <c r="B70" s="3" t="s">
        <v>228</v>
      </c>
      <c r="C70" s="26">
        <v>21.399999618530273</v>
      </c>
      <c r="D70" s="8">
        <v>0</v>
      </c>
      <c r="E70" s="7">
        <v>3.7523416909557294E-3</v>
      </c>
      <c r="F70" s="9">
        <v>0.89655557967154031</v>
      </c>
      <c r="G70" s="9">
        <v>1.1379346632202731</v>
      </c>
      <c r="H70" s="8">
        <v>-83.153041000256593</v>
      </c>
      <c r="I70" s="8">
        <v>-53.613170542454796</v>
      </c>
      <c r="J70" s="7">
        <v>-2.2992187570608072E-2</v>
      </c>
      <c r="K70" s="7">
        <v>5.9796506713582949E-2</v>
      </c>
      <c r="L70" s="7">
        <v>0.14479916183851191</v>
      </c>
      <c r="M70" s="8">
        <v>16.723509966823528</v>
      </c>
      <c r="N70" s="8">
        <v>46.20665485555768</v>
      </c>
      <c r="O70" s="8">
        <v>-88.202245550287373</v>
      </c>
      <c r="P70" s="8">
        <v>26.869002392952293</v>
      </c>
      <c r="Q70" s="9">
        <v>0.36343362416369973</v>
      </c>
      <c r="R70" s="9">
        <v>0.48665057280393165</v>
      </c>
      <c r="S70" s="8">
        <v>-81.020131072940302</v>
      </c>
      <c r="T70" s="9">
        <v>6.8844163141691228E-2</v>
      </c>
      <c r="U70" s="8">
        <v>8.7614065830808219</v>
      </c>
      <c r="V70" s="7">
        <v>-6.9974319909923269E-2</v>
      </c>
      <c r="W70" s="7">
        <v>1.2359606415499977E-3</v>
      </c>
      <c r="X70" s="9">
        <v>0.22302928264344302</v>
      </c>
      <c r="Y70" s="9">
        <v>0.54003352571303187</v>
      </c>
      <c r="Z70" s="8">
        <v>38.558977964971369</v>
      </c>
      <c r="AA70" s="8">
        <v>-87.269803418204575</v>
      </c>
      <c r="AB70" s="6">
        <v>0.5557141985212054</v>
      </c>
      <c r="AC70" s="8">
        <v>51.177091291597549</v>
      </c>
      <c r="AD70" s="8">
        <v>0</v>
      </c>
      <c r="AE70" s="8">
        <v>0</v>
      </c>
      <c r="AF70" s="8">
        <v>0</v>
      </c>
      <c r="AG70" s="8">
        <v>0</v>
      </c>
      <c r="AH70" s="8">
        <v>0</v>
      </c>
      <c r="AI70" s="8">
        <v>0</v>
      </c>
    </row>
    <row r="71" spans="1:35" ht="15" x14ac:dyDescent="0.25">
      <c r="A71" s="15" t="str">
        <f>IFERROR(RIGHT(IF(VLOOKUP(B71,Patterns!H:I,2,0)="NO_PATTERN","",VLOOKUP(B71,Patterns!H:I,2,0)),LEN(IF(VLOOKUP(B71,Patterns!H:I,2,0)="NO_PATTERN","",VLOOKUP(B71,Patterns!H:I,2,0)))-3),"")</f>
        <v/>
      </c>
      <c r="B71" s="3" t="s">
        <v>178</v>
      </c>
      <c r="C71" s="26">
        <v>11.399999618530273</v>
      </c>
      <c r="D71" s="8">
        <v>0</v>
      </c>
      <c r="E71" s="7">
        <v>-3.3078909633979192E-2</v>
      </c>
      <c r="F71" s="9">
        <v>1.5999984741210938</v>
      </c>
      <c r="G71" s="9">
        <v>4.000091552734375E-2</v>
      </c>
      <c r="H71" s="8">
        <v>-84.325295286470123</v>
      </c>
      <c r="I71" s="8">
        <v>-27.297559939286213</v>
      </c>
      <c r="J71" s="7">
        <v>-4.160683540066698E-2</v>
      </c>
      <c r="K71" s="7">
        <v>-5.1436033201538507E-2</v>
      </c>
      <c r="L71" s="7">
        <v>-7.5731679450280892E-2</v>
      </c>
      <c r="M71" s="8">
        <v>16.670615521672119</v>
      </c>
      <c r="N71" s="8">
        <v>37.69253271584337</v>
      </c>
      <c r="O71" s="8">
        <v>-88.324421554739743</v>
      </c>
      <c r="P71" s="8">
        <v>45.721667518434458</v>
      </c>
      <c r="Q71" s="9">
        <v>0.9581529730426932</v>
      </c>
      <c r="R71" s="9">
        <v>1.195074342911723</v>
      </c>
      <c r="S71" s="8">
        <v>-84.520017148026554</v>
      </c>
      <c r="T71" s="9">
        <v>7.1272685621602744E-2</v>
      </c>
      <c r="U71" s="8">
        <v>-38.82869060309492</v>
      </c>
      <c r="V71" s="7">
        <v>-8.514705353566647E-2</v>
      </c>
      <c r="W71" s="7">
        <v>-1.0467031598675174E-2</v>
      </c>
      <c r="X71" s="9">
        <v>0.34852722454465335</v>
      </c>
      <c r="Y71" s="9">
        <v>0.29970066428775111</v>
      </c>
      <c r="Z71" s="8">
        <v>12.867681510162191</v>
      </c>
      <c r="AA71" s="8">
        <v>75.001614404083014</v>
      </c>
      <c r="AB71" s="6">
        <v>0.41928584235055105</v>
      </c>
      <c r="AC71" s="8">
        <v>62.555874563280483</v>
      </c>
      <c r="AD71" s="8">
        <v>0</v>
      </c>
      <c r="AE71" s="8">
        <v>0</v>
      </c>
      <c r="AF71" s="8">
        <v>0</v>
      </c>
      <c r="AG71" s="8">
        <v>0</v>
      </c>
      <c r="AH71" s="8">
        <v>-1</v>
      </c>
      <c r="AI71" s="8">
        <v>0</v>
      </c>
    </row>
    <row r="72" spans="1:35" ht="15" x14ac:dyDescent="0.25">
      <c r="A72" s="15" t="str">
        <f>IFERROR(RIGHT(IF(VLOOKUP(B72,Patterns!H:I,2,0)="NO_PATTERN","",VLOOKUP(B72,Patterns!H:I,2,0)),LEN(IF(VLOOKUP(B72,Patterns!H:I,2,0)="NO_PATTERN","",VLOOKUP(B72,Patterns!H:I,2,0)))-3),"")</f>
        <v/>
      </c>
      <c r="B72" s="3" t="s">
        <v>89</v>
      </c>
      <c r="C72" s="26">
        <v>27.180000305175781</v>
      </c>
      <c r="D72" s="8">
        <v>0</v>
      </c>
      <c r="E72" s="7">
        <v>-9.8360819766607488E-3</v>
      </c>
      <c r="F72" s="9">
        <v>16.625014901175405</v>
      </c>
      <c r="G72" s="9">
        <v>7.2500059604701619</v>
      </c>
      <c r="H72" s="8">
        <v>-85.131975394447323</v>
      </c>
      <c r="I72" s="8">
        <v>-66.498900012990944</v>
      </c>
      <c r="J72" s="7">
        <v>-4.0291083243414398E-2</v>
      </c>
      <c r="K72" s="7">
        <v>-9.0179454768785448E-3</v>
      </c>
      <c r="L72" s="7">
        <v>6.6609179214326658E-2</v>
      </c>
      <c r="M72" s="8">
        <v>15.946593636827444</v>
      </c>
      <c r="N72" s="8">
        <v>39.026690363916877</v>
      </c>
      <c r="O72" s="8">
        <v>-88.531224420827741</v>
      </c>
      <c r="P72" s="8">
        <v>38.666362397082032</v>
      </c>
      <c r="Q72" s="9">
        <v>0.64483541044937276</v>
      </c>
      <c r="R72" s="9">
        <v>0.69666420271690011</v>
      </c>
      <c r="S72" s="8">
        <v>-83.728875700497952</v>
      </c>
      <c r="T72" s="9">
        <v>0.14224802533898234</v>
      </c>
      <c r="U72" s="8">
        <v>-81.53575595237929</v>
      </c>
      <c r="V72" s="7">
        <v>-0.11725169214445516</v>
      </c>
      <c r="W72" s="7">
        <v>3.1122207734889835E-2</v>
      </c>
      <c r="X72" s="9">
        <v>0.34210663469611252</v>
      </c>
      <c r="Y72" s="9">
        <v>0.45341783178309414</v>
      </c>
      <c r="Z72" s="8">
        <v>20.963836364936899</v>
      </c>
      <c r="AA72" s="8">
        <v>-83.539272651626789</v>
      </c>
      <c r="AB72" s="6">
        <v>0.96571404593331478</v>
      </c>
      <c r="AC72" s="8">
        <v>83.326104017306776</v>
      </c>
      <c r="AD72" s="8">
        <v>0</v>
      </c>
      <c r="AE72" s="8">
        <v>0</v>
      </c>
      <c r="AF72" s="8">
        <v>0</v>
      </c>
      <c r="AG72" s="8">
        <v>0</v>
      </c>
      <c r="AH72" s="8">
        <v>0</v>
      </c>
      <c r="AI72" s="8">
        <v>0</v>
      </c>
    </row>
    <row r="73" spans="1:35" ht="15" x14ac:dyDescent="0.25">
      <c r="A73" s="15" t="str">
        <f>IFERROR(RIGHT(IF(VLOOKUP(B73,Patterns!H:I,2,0)="NO_PATTERN","",VLOOKUP(B73,Patterns!H:I,2,0)),LEN(IF(VLOOKUP(B73,Patterns!H:I,2,0)="NO_PATTERN","",VLOOKUP(B73,Patterns!H:I,2,0)))-3),"")</f>
        <v>3INSIDE_Bull</v>
      </c>
      <c r="B73" s="3" t="s">
        <v>249</v>
      </c>
      <c r="C73" s="26">
        <v>13.880000114440918</v>
      </c>
      <c r="D73" s="8">
        <v>1</v>
      </c>
      <c r="E73" s="7">
        <v>-2.2535190079046807E-2</v>
      </c>
      <c r="F73" s="9">
        <v>2.7500019868233871</v>
      </c>
      <c r="G73" s="9">
        <v>2.3333333333333335</v>
      </c>
      <c r="H73" s="8">
        <v>-80.142346573988576</v>
      </c>
      <c r="I73" s="8">
        <v>53.306937152206558</v>
      </c>
      <c r="J73" s="7">
        <v>-2.6887451600471696E-2</v>
      </c>
      <c r="K73" s="7">
        <v>-5.2969640782905579E-2</v>
      </c>
      <c r="L73" s="7">
        <v>7.622503136923707E-2</v>
      </c>
      <c r="M73" s="8">
        <v>15.725488898219595</v>
      </c>
      <c r="N73" s="8">
        <v>37.285098807355631</v>
      </c>
      <c r="O73" s="8">
        <v>-87.551096641627979</v>
      </c>
      <c r="P73" s="8">
        <v>58.766864549436782</v>
      </c>
      <c r="Q73" s="9">
        <v>0.4480651731160894</v>
      </c>
      <c r="R73" s="9">
        <v>0.30274081655862628</v>
      </c>
      <c r="S73" s="8">
        <v>-78.300620051103138</v>
      </c>
      <c r="T73" s="9">
        <v>0.10164533327985223</v>
      </c>
      <c r="U73" s="8">
        <v>-61.982119967651826</v>
      </c>
      <c r="V73" s="7">
        <v>-8.0878612105499167E-2</v>
      </c>
      <c r="W73" s="7">
        <v>2.3674011520171304E-2</v>
      </c>
      <c r="X73" s="9">
        <v>0.27836378812577128</v>
      </c>
      <c r="Y73" s="9">
        <v>0.30866008233081349</v>
      </c>
      <c r="Z73" s="8">
        <v>15.723932626260828</v>
      </c>
      <c r="AA73" s="8">
        <v>-79.904932916530626</v>
      </c>
      <c r="AB73" s="6">
        <v>0.5221426827566964</v>
      </c>
      <c r="AC73" s="8">
        <v>-84.816483525594052</v>
      </c>
      <c r="AD73" s="8">
        <v>0</v>
      </c>
      <c r="AE73" s="8">
        <v>0</v>
      </c>
      <c r="AF73" s="8">
        <v>0</v>
      </c>
      <c r="AG73" s="8">
        <v>0</v>
      </c>
      <c r="AH73" s="8">
        <v>-1</v>
      </c>
      <c r="AI73" s="8">
        <v>0</v>
      </c>
    </row>
    <row r="74" spans="1:35" ht="15" x14ac:dyDescent="0.25">
      <c r="A74" s="15" t="str">
        <f>IFERROR(RIGHT(IF(VLOOKUP(B74,Patterns!H:I,2,0)="NO_PATTERN","",VLOOKUP(B74,Patterns!H:I,2,0)),LEN(IF(VLOOKUP(B74,Patterns!H:I,2,0)="NO_PATTERN","",VLOOKUP(B74,Patterns!H:I,2,0)))-3),"")</f>
        <v>LONGLEGGEDDOJI_Bull</v>
      </c>
      <c r="B74" s="3" t="s">
        <v>211</v>
      </c>
      <c r="C74" s="26">
        <v>44.560001373291016</v>
      </c>
      <c r="D74" s="8">
        <v>1</v>
      </c>
      <c r="E74" s="7">
        <v>-1.5901003211489906E-2</v>
      </c>
      <c r="F74" s="9">
        <v>2.5217521105269269</v>
      </c>
      <c r="G74" s="9">
        <v>1.7826115801170948</v>
      </c>
      <c r="H74" s="8">
        <v>-86.914325062402455</v>
      </c>
      <c r="I74" s="8">
        <v>84.239801069979976</v>
      </c>
      <c r="J74" s="7">
        <v>-1.4934106295607598E-2</v>
      </c>
      <c r="K74" s="7">
        <v>2.5613166341628531E-2</v>
      </c>
      <c r="L74" s="7">
        <v>3.7306979559325389E-2</v>
      </c>
      <c r="M74" s="8">
        <v>15.720034266329478</v>
      </c>
      <c r="N74" s="8">
        <v>50.272030770161535</v>
      </c>
      <c r="O74" s="8">
        <v>-88.711082159107278</v>
      </c>
      <c r="P74" s="8">
        <v>75.494091777539339</v>
      </c>
      <c r="Q74" s="9">
        <v>0.72428629614544371</v>
      </c>
      <c r="R74" s="9">
        <v>0.87242050029402463</v>
      </c>
      <c r="S74" s="8">
        <v>-87.299650153033781</v>
      </c>
      <c r="T74" s="9">
        <v>0.14682603194932253</v>
      </c>
      <c r="U74" s="8">
        <v>7.7646288904049685</v>
      </c>
      <c r="V74" s="7">
        <v>-6.3438836960057421E-2</v>
      </c>
      <c r="W74" s="7">
        <v>8.2022884043830235E-2</v>
      </c>
      <c r="X74" s="9">
        <v>0.2293106133751793</v>
      </c>
      <c r="Y74" s="9">
        <v>0.21946452912846784</v>
      </c>
      <c r="Z74" s="8">
        <v>27.230819273424064</v>
      </c>
      <c r="AA74" s="8">
        <v>80.717994318167854</v>
      </c>
      <c r="AB74" s="6">
        <v>1.0292862483433314</v>
      </c>
      <c r="AC74" s="8">
        <v>24.631905172593704</v>
      </c>
      <c r="AD74" s="8">
        <v>0</v>
      </c>
      <c r="AE74" s="8">
        <v>0</v>
      </c>
      <c r="AF74" s="8">
        <v>0</v>
      </c>
      <c r="AG74" s="8">
        <v>0</v>
      </c>
      <c r="AH74" s="8">
        <v>-1</v>
      </c>
      <c r="AI74" s="8">
        <v>0</v>
      </c>
    </row>
    <row r="75" spans="1:35" ht="15" x14ac:dyDescent="0.25">
      <c r="A75" s="15" t="str">
        <f>IFERROR(RIGHT(IF(VLOOKUP(B75,Patterns!H:I,2,0)="NO_PATTERN","",VLOOKUP(B75,Patterns!H:I,2,0)),LEN(IF(VLOOKUP(B75,Patterns!H:I,2,0)="NO_PATTERN","",VLOOKUP(B75,Patterns!H:I,2,0)))-3),"")</f>
        <v>SPINNINGTOP_Bear</v>
      </c>
      <c r="B75" s="3" t="s">
        <v>149</v>
      </c>
      <c r="C75" s="26">
        <v>25.149999618530273</v>
      </c>
      <c r="D75" s="8">
        <v>-1</v>
      </c>
      <c r="E75" s="7">
        <v>-1.4884491104381725E-2</v>
      </c>
      <c r="F75" s="9">
        <v>10.750017881410486</v>
      </c>
      <c r="G75" s="9">
        <v>0.50001192094032376</v>
      </c>
      <c r="H75" s="8">
        <v>-85.358947615997494</v>
      </c>
      <c r="I75" s="8">
        <v>-29.937494858361955</v>
      </c>
      <c r="J75" s="7">
        <v>-3.0155833202778065E-2</v>
      </c>
      <c r="K75" s="7">
        <v>-5.1238250213525759E-2</v>
      </c>
      <c r="L75" s="7">
        <v>-5.9339338064302839E-2</v>
      </c>
      <c r="M75" s="8">
        <v>15.258697670020695</v>
      </c>
      <c r="N75" s="8">
        <v>32.981482620368936</v>
      </c>
      <c r="O75" s="8">
        <v>-88.30990286330983</v>
      </c>
      <c r="P75" s="8">
        <v>42.149590748305435</v>
      </c>
      <c r="Q75" s="9">
        <v>1.0288285629979343</v>
      </c>
      <c r="R75" s="9">
        <v>1.1520086760156056</v>
      </c>
      <c r="S75" s="8">
        <v>-83.737555380692413</v>
      </c>
      <c r="T75" s="9">
        <v>0.10375834250301877</v>
      </c>
      <c r="U75" s="8">
        <v>-68.726992351576541</v>
      </c>
      <c r="V75" s="7">
        <v>-0.10108538999650195</v>
      </c>
      <c r="W75" s="7">
        <v>7.5266998164354041E-3</v>
      </c>
      <c r="X75" s="9">
        <v>0.23372296252318081</v>
      </c>
      <c r="Y75" s="9">
        <v>0.28048151842333058</v>
      </c>
      <c r="Z75" s="8">
        <v>15.781287540559847</v>
      </c>
      <c r="AA75" s="8">
        <v>-35.005771056812087</v>
      </c>
      <c r="AB75" s="6">
        <v>0.79357174464634483</v>
      </c>
      <c r="AC75" s="8">
        <v>41.372761523029368</v>
      </c>
      <c r="AD75" s="8">
        <v>0</v>
      </c>
      <c r="AE75" s="8">
        <v>0</v>
      </c>
      <c r="AF75" s="8">
        <v>0</v>
      </c>
      <c r="AG75" s="8">
        <v>0</v>
      </c>
      <c r="AH75" s="8">
        <v>0</v>
      </c>
      <c r="AI75" s="8">
        <v>0</v>
      </c>
    </row>
    <row r="76" spans="1:35" ht="15" x14ac:dyDescent="0.25">
      <c r="A76" s="15" t="str">
        <f>IFERROR(RIGHT(IF(VLOOKUP(B76,Patterns!H:I,2,0)="NO_PATTERN","",VLOOKUP(B76,Patterns!H:I,2,0)),LEN(IF(VLOOKUP(B76,Patterns!H:I,2,0)="NO_PATTERN","",VLOOKUP(B76,Patterns!H:I,2,0)))-3),"")</f>
        <v>HIKKAKE_Bull</v>
      </c>
      <c r="B76" s="3" t="s">
        <v>175</v>
      </c>
      <c r="C76" s="26">
        <v>10.760000228881836</v>
      </c>
      <c r="D76" s="8">
        <v>1</v>
      </c>
      <c r="E76" s="7">
        <v>-3.4111319814158492E-2</v>
      </c>
      <c r="F76" s="9">
        <v>3.1111246509804338</v>
      </c>
      <c r="G76" s="9">
        <v>0.33333686547315661</v>
      </c>
      <c r="H76" s="8">
        <v>-85.270842562549561</v>
      </c>
      <c r="I76" s="8">
        <v>31.220512834142262</v>
      </c>
      <c r="J76" s="7">
        <v>-5.545797806761299E-2</v>
      </c>
      <c r="K76" s="7">
        <v>-0.1017345217602376</v>
      </c>
      <c r="L76" s="7">
        <v>-0.18430916592014884</v>
      </c>
      <c r="M76" s="8">
        <v>14.419008565730991</v>
      </c>
      <c r="N76" s="8">
        <v>35.764849311293588</v>
      </c>
      <c r="O76" s="8">
        <v>-88.515004229029074</v>
      </c>
      <c r="P76" s="8">
        <v>58.098325297909319</v>
      </c>
      <c r="Q76" s="9">
        <v>0.81204039357845681</v>
      </c>
      <c r="R76" s="9">
        <v>0.78715694029722094</v>
      </c>
      <c r="S76" s="8">
        <v>-74.896138948479347</v>
      </c>
      <c r="T76" s="9">
        <v>0.15183672360865383</v>
      </c>
      <c r="U76" s="8">
        <v>34.110015846021319</v>
      </c>
      <c r="V76" s="7">
        <v>-0.15246253520582925</v>
      </c>
      <c r="W76" s="7">
        <v>1.0176324432110464E-2</v>
      </c>
      <c r="X76" s="9">
        <v>0.46342822798382466</v>
      </c>
      <c r="Y76" s="9">
        <v>0.39022216744832833</v>
      </c>
      <c r="Z76" s="8">
        <v>14.43548109437781</v>
      </c>
      <c r="AA76" s="8">
        <v>67.218513930322999</v>
      </c>
      <c r="AB76" s="6">
        <v>0.49785702569144114</v>
      </c>
      <c r="AC76" s="8">
        <v>80.047032500701249</v>
      </c>
      <c r="AD76" s="8">
        <v>0</v>
      </c>
      <c r="AE76" s="8">
        <v>0</v>
      </c>
      <c r="AF76" s="8">
        <v>0</v>
      </c>
      <c r="AG76" s="8">
        <v>-1</v>
      </c>
      <c r="AH76" s="8">
        <v>-1</v>
      </c>
      <c r="AI76" s="8">
        <v>0</v>
      </c>
    </row>
    <row r="77" spans="1:35" ht="15" x14ac:dyDescent="0.25">
      <c r="A77" s="15" t="str">
        <f>IFERROR(RIGHT(IF(VLOOKUP(B77,Patterns!H:I,2,0)="NO_PATTERN","",VLOOKUP(B77,Patterns!H:I,2,0)),LEN(IF(VLOOKUP(B77,Patterns!H:I,2,0)="NO_PATTERN","",VLOOKUP(B77,Patterns!H:I,2,0)))-3),"")</f>
        <v>HIGHWAVE_Bull</v>
      </c>
      <c r="B77" s="3" t="s">
        <v>134</v>
      </c>
      <c r="C77" s="26">
        <v>13.5</v>
      </c>
      <c r="D77" s="8">
        <v>1</v>
      </c>
      <c r="E77" s="7">
        <v>-3.2951292040829583E-2</v>
      </c>
      <c r="F77" s="9">
        <v>5.7142730635349892</v>
      </c>
      <c r="G77" s="9">
        <v>1.7857099066082656</v>
      </c>
      <c r="H77" s="8">
        <v>-85.27172281604183</v>
      </c>
      <c r="I77" s="8">
        <v>-35.380798575275413</v>
      </c>
      <c r="J77" s="7">
        <v>-7.1140705802181764E-2</v>
      </c>
      <c r="K77" s="7">
        <v>-0.12781171494350907</v>
      </c>
      <c r="L77" s="7">
        <v>-0.3118524600974471</v>
      </c>
      <c r="M77" s="8">
        <v>14.307081963114072</v>
      </c>
      <c r="N77" s="8">
        <v>34.082752401535203</v>
      </c>
      <c r="O77" s="8">
        <v>-88.541857642718696</v>
      </c>
      <c r="P77" s="8">
        <v>42.792285873363198</v>
      </c>
      <c r="Q77" s="9">
        <v>1.1398670530083517</v>
      </c>
      <c r="R77" s="9">
        <v>1.2339331406073359</v>
      </c>
      <c r="S77" s="8">
        <v>-85.002204349256075</v>
      </c>
      <c r="T77" s="9">
        <v>0.14187283477612617</v>
      </c>
      <c r="U77" s="8">
        <v>-31.054520279023777</v>
      </c>
      <c r="V77" s="7">
        <v>-0.17338933056622285</v>
      </c>
      <c r="W77" s="7">
        <v>-1.7943995137715888E-2</v>
      </c>
      <c r="X77" s="9">
        <v>0.5321590233023914</v>
      </c>
      <c r="Y77" s="9">
        <v>0.4452375859665223</v>
      </c>
      <c r="Z77" s="8">
        <v>14.86732674246794</v>
      </c>
      <c r="AA77" s="8">
        <v>76.969146071917834</v>
      </c>
      <c r="AB77" s="6">
        <v>0.69714294161115375</v>
      </c>
      <c r="AC77" s="8">
        <v>81.648938753412438</v>
      </c>
      <c r="AD77" s="8">
        <v>0</v>
      </c>
      <c r="AE77" s="8">
        <v>0</v>
      </c>
      <c r="AF77" s="8">
        <v>0</v>
      </c>
      <c r="AG77" s="8">
        <v>0</v>
      </c>
      <c r="AH77" s="8">
        <v>0</v>
      </c>
      <c r="AI77" s="8">
        <v>0</v>
      </c>
    </row>
    <row r="78" spans="1:35" ht="15" x14ac:dyDescent="0.25">
      <c r="A78" s="15" t="str">
        <f>IFERROR(RIGHT(IF(VLOOKUP(B78,Patterns!H:I,2,0)="NO_PATTERN","",VLOOKUP(B78,Patterns!H:I,2,0)),LEN(IF(VLOOKUP(B78,Patterns!H:I,2,0)="NO_PATTERN","",VLOOKUP(B78,Patterns!H:I,2,0)))-3),"")</f>
        <v>RICKSHAWMAN_Bull</v>
      </c>
      <c r="B78" s="3" t="s">
        <v>140</v>
      </c>
      <c r="C78" s="26">
        <v>11.529999732971191</v>
      </c>
      <c r="D78" s="8">
        <v>1</v>
      </c>
      <c r="E78" s="7">
        <v>-3.2718149398201057E-2</v>
      </c>
      <c r="F78" s="9">
        <v>7.3750089407052428</v>
      </c>
      <c r="G78" s="9">
        <v>2.1250029802350809</v>
      </c>
      <c r="H78" s="8">
        <v>-85.336889310077481</v>
      </c>
      <c r="I78" s="8">
        <v>54.863079737420904</v>
      </c>
      <c r="J78" s="7">
        <v>-5.0970004622793802E-2</v>
      </c>
      <c r="K78" s="7">
        <v>-5.8757097528641701E-2</v>
      </c>
      <c r="L78" s="7">
        <v>-0.10464569759676247</v>
      </c>
      <c r="M78" s="8">
        <v>14.126905395991855</v>
      </c>
      <c r="N78" s="8">
        <v>36.999428473580409</v>
      </c>
      <c r="O78" s="8">
        <v>-88.886287081207897</v>
      </c>
      <c r="P78" s="8">
        <v>56.685128534349928</v>
      </c>
      <c r="Q78" s="9">
        <v>0.88786718760277306</v>
      </c>
      <c r="R78" s="9">
        <v>1.0058045476177666</v>
      </c>
      <c r="S78" s="8">
        <v>-85.951037450738482</v>
      </c>
      <c r="T78" s="9">
        <v>0.12697897933201568</v>
      </c>
      <c r="U78" s="8">
        <v>-32.790089189721456</v>
      </c>
      <c r="V78" s="7">
        <v>-0.11302064421797095</v>
      </c>
      <c r="W78" s="7">
        <v>1.987227738734337E-2</v>
      </c>
      <c r="X78" s="9">
        <v>0.35668168634127828</v>
      </c>
      <c r="Y78" s="9">
        <v>0.35950804582164791</v>
      </c>
      <c r="Z78" s="8">
        <v>19.203195618792943</v>
      </c>
      <c r="AA78" s="8">
        <v>-82.168167078187494</v>
      </c>
      <c r="AB78" s="6">
        <v>0.4878572736467634</v>
      </c>
      <c r="AC78" s="8">
        <v>79.583171914599092</v>
      </c>
      <c r="AD78" s="8">
        <v>0</v>
      </c>
      <c r="AE78" s="8">
        <v>0</v>
      </c>
      <c r="AF78" s="8">
        <v>0</v>
      </c>
      <c r="AG78" s="8">
        <v>-1</v>
      </c>
      <c r="AH78" s="8">
        <v>-1</v>
      </c>
      <c r="AI78" s="8">
        <v>0</v>
      </c>
    </row>
    <row r="79" spans="1:35" ht="15" x14ac:dyDescent="0.25">
      <c r="A79" s="15" t="str">
        <f>IFERROR(RIGHT(IF(VLOOKUP(B79,Patterns!H:I,2,0)="NO_PATTERN","",VLOOKUP(B79,Patterns!H:I,2,0)),LEN(IF(VLOOKUP(B79,Patterns!H:I,2,0)="NO_PATTERN","",VLOOKUP(B79,Patterns!H:I,2,0)))-3),"")</f>
        <v/>
      </c>
      <c r="B79" s="3" t="s">
        <v>125</v>
      </c>
      <c r="C79" s="26">
        <v>27.959999084472656</v>
      </c>
      <c r="D79" s="8">
        <v>0</v>
      </c>
      <c r="E79" s="7">
        <v>-2.0665505021170594E-2</v>
      </c>
      <c r="F79" s="9">
        <v>20.999427808506582</v>
      </c>
      <c r="G79" s="9">
        <v>35.999237078008775</v>
      </c>
      <c r="H79" s="8">
        <v>-86.847314675133902</v>
      </c>
      <c r="I79" s="8">
        <v>-73.129434219583544</v>
      </c>
      <c r="J79" s="7">
        <v>-4.5486093001568445E-2</v>
      </c>
      <c r="K79" s="7">
        <v>-0.14200062888795906</v>
      </c>
      <c r="L79" s="7">
        <v>-0.17977407521866143</v>
      </c>
      <c r="M79" s="8">
        <v>13.944136346947801</v>
      </c>
      <c r="N79" s="8">
        <v>24.873822559633311</v>
      </c>
      <c r="O79" s="8">
        <v>-87.928582307279953</v>
      </c>
      <c r="P79" s="8">
        <v>13.338973191657999</v>
      </c>
      <c r="Q79" s="9">
        <v>1.7366424035929997</v>
      </c>
      <c r="R79" s="9">
        <v>1.8242035009862589</v>
      </c>
      <c r="S79" s="8">
        <v>-84.775540630632108</v>
      </c>
      <c r="T79" s="9">
        <v>0.18089154671115587</v>
      </c>
      <c r="U79" s="8">
        <v>51.233427138325702</v>
      </c>
      <c r="V79" s="7">
        <v>-0.18094658458769475</v>
      </c>
      <c r="W79" s="7">
        <v>1.4957933994602187E-2</v>
      </c>
      <c r="X79" s="9">
        <v>0.29687917648923828</v>
      </c>
      <c r="Y79" s="9">
        <v>0.3264377663108351</v>
      </c>
      <c r="Z79" s="8">
        <v>41.022044001331139</v>
      </c>
      <c r="AA79" s="8">
        <v>-36.739850889576267</v>
      </c>
      <c r="AB79" s="6">
        <v>1.0064287185668945</v>
      </c>
      <c r="AC79" s="8">
        <v>73.045850834319424</v>
      </c>
      <c r="AD79" s="8">
        <v>0</v>
      </c>
      <c r="AE79" s="8">
        <v>0</v>
      </c>
      <c r="AF79" s="8">
        <v>0</v>
      </c>
      <c r="AG79" s="8">
        <v>0</v>
      </c>
      <c r="AH79" s="8">
        <v>0</v>
      </c>
      <c r="AI79" s="8">
        <v>0</v>
      </c>
    </row>
    <row r="80" spans="1:35" ht="15" x14ac:dyDescent="0.25">
      <c r="A80" s="15" t="str">
        <f>IFERROR(RIGHT(IF(VLOOKUP(B80,Patterns!H:I,2,0)="NO_PATTERN","",VLOOKUP(B80,Patterns!H:I,2,0)),LEN(IF(VLOOKUP(B80,Patterns!H:I,2,0)="NO_PATTERN","",VLOOKUP(B80,Patterns!H:I,2,0)))-3),"")</f>
        <v/>
      </c>
      <c r="B80" s="3" t="s">
        <v>351</v>
      </c>
      <c r="C80" s="6">
        <v>6.9699997901916504</v>
      </c>
      <c r="D80" s="6" t="e">
        <v>#N/A</v>
      </c>
      <c r="E80" s="7">
        <v>7.2253921020883904E-3</v>
      </c>
      <c r="F80" s="9">
        <v>5.0909244600886057</v>
      </c>
      <c r="G80" s="9">
        <v>1.6363715179941565</v>
      </c>
      <c r="H80" s="8">
        <v>-83.338279766659184</v>
      </c>
      <c r="I80" s="8">
        <v>-53.810118652525929</v>
      </c>
      <c r="J80" s="7">
        <v>-8.6434446976179816E-2</v>
      </c>
      <c r="K80" s="7">
        <v>-0.31795189484323383</v>
      </c>
      <c r="L80" s="7">
        <v>-0.73667976728523243</v>
      </c>
      <c r="M80" s="8">
        <v>13.785642153643366</v>
      </c>
      <c r="N80" s="8">
        <v>30.295612375327437</v>
      </c>
      <c r="O80" s="8">
        <v>-87.953091670213723</v>
      </c>
      <c r="P80" s="8">
        <v>24.48152353653666</v>
      </c>
      <c r="Q80" s="9">
        <v>0.97512612678259902</v>
      </c>
      <c r="R80" s="9">
        <v>1.2103713237320148</v>
      </c>
      <c r="S80" s="8">
        <v>-71.770137261231056</v>
      </c>
      <c r="T80" s="7">
        <v>0.19940813805613494</v>
      </c>
      <c r="U80" s="6">
        <v>73.492507500177595</v>
      </c>
      <c r="V80" s="7">
        <v>-0.24280764172538954</v>
      </c>
      <c r="W80" s="7">
        <v>-1.7450689088642706E-2</v>
      </c>
      <c r="X80" s="9">
        <v>0.61267125406446599</v>
      </c>
      <c r="Y80" s="9">
        <v>0.48990300403671327</v>
      </c>
      <c r="Z80" s="8">
        <v>37.635312698309257</v>
      </c>
      <c r="AA80" s="8">
        <v>76.774579615559688</v>
      </c>
      <c r="AB80" s="6">
        <v>0.50857162475585938</v>
      </c>
      <c r="AC80" s="8">
        <v>72.052020018549811</v>
      </c>
      <c r="AD80" s="8">
        <v>0</v>
      </c>
      <c r="AE80" s="8">
        <v>0</v>
      </c>
      <c r="AF80" s="8">
        <v>0</v>
      </c>
      <c r="AG80" s="8">
        <v>-1</v>
      </c>
      <c r="AH80" s="8">
        <v>0</v>
      </c>
      <c r="AI80" s="8">
        <v>0</v>
      </c>
    </row>
    <row r="81" spans="1:35" ht="15" x14ac:dyDescent="0.25">
      <c r="A81" s="15" t="str">
        <f>IFERROR(RIGHT(IF(VLOOKUP(B81,Patterns!H:I,2,0)="NO_PATTERN","",VLOOKUP(B81,Patterns!H:I,2,0)),LEN(IF(VLOOKUP(B81,Patterns!H:I,2,0)="NO_PATTERN","",VLOOKUP(B81,Patterns!H:I,2,0)))-3),"")</f>
        <v>CLOSINGMARUBOZU_Bull</v>
      </c>
      <c r="B81" s="3" t="s">
        <v>184</v>
      </c>
      <c r="C81" s="26">
        <v>4.2699999809265137</v>
      </c>
      <c r="D81" s="8">
        <v>1</v>
      </c>
      <c r="E81" s="7">
        <v>4.7058778650619359E-3</v>
      </c>
      <c r="F81" s="9">
        <v>18.500011920940324</v>
      </c>
      <c r="G81" s="9">
        <v>1</v>
      </c>
      <c r="H81" s="8">
        <v>-76.74507750784025</v>
      </c>
      <c r="I81" s="8">
        <v>-52.33893105979741</v>
      </c>
      <c r="J81" s="7">
        <v>-9.3274963737575919E-2</v>
      </c>
      <c r="K81" s="7">
        <v>-0.29794859963394071</v>
      </c>
      <c r="L81" s="7">
        <v>-0.72771701064557159</v>
      </c>
      <c r="M81" s="8">
        <v>12.927803692491807</v>
      </c>
      <c r="N81" s="8">
        <v>26.915208611348589</v>
      </c>
      <c r="O81" s="8">
        <v>-86.894068645687867</v>
      </c>
      <c r="P81" s="8">
        <v>8.4211059275090179</v>
      </c>
      <c r="Q81" s="9">
        <v>0.51638274488253866</v>
      </c>
      <c r="R81" s="9">
        <v>0.70079741130243844</v>
      </c>
      <c r="S81" s="8">
        <v>27.3776199071919</v>
      </c>
      <c r="T81" s="9">
        <v>0.25852527078662391</v>
      </c>
      <c r="U81" s="8">
        <v>75.888759712295439</v>
      </c>
      <c r="V81" s="7">
        <v>-0.31332982106626295</v>
      </c>
      <c r="W81" s="7">
        <v>-1.2665531837345789E-2</v>
      </c>
      <c r="X81" s="9">
        <v>0.57817255984249072</v>
      </c>
      <c r="Y81" s="9">
        <v>0.52042536759999325</v>
      </c>
      <c r="Z81" s="8">
        <v>35.315206539588878</v>
      </c>
      <c r="AA81" s="8">
        <v>85.147795949809705</v>
      </c>
      <c r="AB81" s="6">
        <v>0.26142856052943636</v>
      </c>
      <c r="AC81" s="8">
        <v>62.055225956158864</v>
      </c>
      <c r="AD81" s="8">
        <v>0</v>
      </c>
      <c r="AE81" s="8">
        <v>0</v>
      </c>
      <c r="AF81" s="8">
        <v>0</v>
      </c>
      <c r="AG81" s="8">
        <v>0</v>
      </c>
      <c r="AH81" s="8">
        <v>0</v>
      </c>
      <c r="AI81" s="8">
        <v>0</v>
      </c>
    </row>
    <row r="82" spans="1:35" ht="15" x14ac:dyDescent="0.25">
      <c r="A82" s="15" t="str">
        <f>IFERROR(RIGHT(IF(VLOOKUP(B82,Patterns!H:I,2,0)="NO_PATTERN","",VLOOKUP(B82,Patterns!H:I,2,0)),LEN(IF(VLOOKUP(B82,Patterns!H:I,2,0)="NO_PATTERN","",VLOOKUP(B82,Patterns!H:I,2,0)))-3),"")</f>
        <v>BELTHOLD_Bear</v>
      </c>
      <c r="B82" s="3" t="s">
        <v>180</v>
      </c>
      <c r="C82" s="26">
        <v>78.089996337890625</v>
      </c>
      <c r="D82" s="8">
        <v>-1</v>
      </c>
      <c r="E82" s="7">
        <v>-2.0692269501910721E-2</v>
      </c>
      <c r="F82" s="9">
        <v>5.3950211455321231</v>
      </c>
      <c r="G82" s="9">
        <v>0.37036234682440261</v>
      </c>
      <c r="H82" s="8">
        <v>-86.273467298581167</v>
      </c>
      <c r="I82" s="8">
        <v>49.140578865359053</v>
      </c>
      <c r="J82" s="7">
        <v>-5.5600409822231252E-2</v>
      </c>
      <c r="K82" s="7">
        <v>-9.5773722775352454E-2</v>
      </c>
      <c r="L82" s="7">
        <v>-4.3964635609498461E-2</v>
      </c>
      <c r="M82" s="8">
        <v>12.514280644876109</v>
      </c>
      <c r="N82" s="8">
        <v>35.722845067179676</v>
      </c>
      <c r="O82" s="8">
        <v>-88.494619129851756</v>
      </c>
      <c r="P82" s="8">
        <v>40.682498066565074</v>
      </c>
      <c r="Q82" s="9">
        <v>0.38231233481913929</v>
      </c>
      <c r="R82" s="9">
        <v>0.31151406276315052</v>
      </c>
      <c r="S82" s="8">
        <v>-86.139891173587259</v>
      </c>
      <c r="T82" s="9">
        <v>0.1706315415440732</v>
      </c>
      <c r="U82" s="8">
        <v>54.936138079321822</v>
      </c>
      <c r="V82" s="7">
        <v>-0.15951173020300968</v>
      </c>
      <c r="W82" s="7">
        <v>2.2784776759416082E-2</v>
      </c>
      <c r="X82" s="9">
        <v>0.52384142137480294</v>
      </c>
      <c r="Y82" s="9">
        <v>0.36449152119504891</v>
      </c>
      <c r="Z82" s="8">
        <v>18.411202159944882</v>
      </c>
      <c r="AA82" s="8">
        <v>-81.771343563659158</v>
      </c>
      <c r="AB82" s="6">
        <v>3.7978575570242747</v>
      </c>
      <c r="AC82" s="8">
        <v>84.824145853481184</v>
      </c>
      <c r="AD82" s="8">
        <v>0</v>
      </c>
      <c r="AE82" s="8">
        <v>0</v>
      </c>
      <c r="AF82" s="8">
        <v>0</v>
      </c>
      <c r="AG82" s="8">
        <v>-1</v>
      </c>
      <c r="AH82" s="8">
        <v>-1</v>
      </c>
      <c r="AI82" s="8">
        <v>0</v>
      </c>
    </row>
    <row r="83" spans="1:35" ht="15" x14ac:dyDescent="0.25">
      <c r="A83" s="15" t="str">
        <f>IFERROR(RIGHT(IF(VLOOKUP(B83,Patterns!H:I,2,0)="NO_PATTERN","",VLOOKUP(B83,Patterns!H:I,2,0)),LEN(IF(VLOOKUP(B83,Patterns!H:I,2,0)="NO_PATTERN","",VLOOKUP(B83,Patterns!H:I,2,0)))-3),"")</f>
        <v>3INSIDE_Bull</v>
      </c>
      <c r="B83" s="3" t="s">
        <v>229</v>
      </c>
      <c r="C83" s="26">
        <v>2.5</v>
      </c>
      <c r="D83" s="8">
        <v>1</v>
      </c>
      <c r="E83" s="7">
        <v>-4.5801485038414524E-2</v>
      </c>
      <c r="F83" s="9">
        <v>1</v>
      </c>
      <c r="G83" s="9">
        <v>8.3335320156720627E-2</v>
      </c>
      <c r="H83" s="8">
        <v>-82.002509331095951</v>
      </c>
      <c r="I83" s="8">
        <v>-21.547253337149254</v>
      </c>
      <c r="J83" s="7">
        <v>-0.10161378540390445</v>
      </c>
      <c r="K83" s="7">
        <v>-0.29716396266244427</v>
      </c>
      <c r="L83" s="7">
        <v>-0.60823575452074152</v>
      </c>
      <c r="M83" s="8">
        <v>12.448290933445222</v>
      </c>
      <c r="N83" s="8">
        <v>30.864422513527487</v>
      </c>
      <c r="O83" s="8">
        <v>-88.342081538821645</v>
      </c>
      <c r="P83" s="8">
        <v>33.74568078695922</v>
      </c>
      <c r="Q83" s="9">
        <v>1.2101297926301657</v>
      </c>
      <c r="R83" s="9">
        <v>1.2994866143321135</v>
      </c>
      <c r="S83" s="8">
        <v>-85.371081872978309</v>
      </c>
      <c r="T83" s="9">
        <v>0.21174436721277359</v>
      </c>
      <c r="U83" s="8">
        <v>5.8664854175321599</v>
      </c>
      <c r="V83" s="7">
        <v>-0.24454855500877101</v>
      </c>
      <c r="W83" s="7">
        <v>-6.2514442282896711E-3</v>
      </c>
      <c r="X83" s="9">
        <v>0.67919820735731762</v>
      </c>
      <c r="Y83" s="9">
        <v>0.61104528657932045</v>
      </c>
      <c r="Z83" s="8">
        <v>33.241643909494336</v>
      </c>
      <c r="AA83" s="8">
        <v>-80.31445909807745</v>
      </c>
      <c r="AB83" s="6">
        <v>0.17928567954472133</v>
      </c>
      <c r="AC83" s="8">
        <v>2.7174522475716437E-4</v>
      </c>
      <c r="AD83" s="8">
        <v>0</v>
      </c>
      <c r="AE83" s="8">
        <v>0</v>
      </c>
      <c r="AF83" s="8">
        <v>0</v>
      </c>
      <c r="AG83" s="8">
        <v>0</v>
      </c>
      <c r="AH83" s="8">
        <v>0</v>
      </c>
      <c r="AI83" s="8">
        <v>0</v>
      </c>
    </row>
    <row r="84" spans="1:35" ht="15" x14ac:dyDescent="0.25">
      <c r="A84" s="15" t="str">
        <f>IFERROR(RIGHT(IF(VLOOKUP(B84,Patterns!H:I,2,0)="NO_PATTERN","",VLOOKUP(B84,Patterns!H:I,2,0)),LEN(IF(VLOOKUP(B84,Patterns!H:I,2,0)="NO_PATTERN","",VLOOKUP(B84,Patterns!H:I,2,0)))-3),"")</f>
        <v>3OUTSIDE_Bear</v>
      </c>
      <c r="B84" s="3" t="s">
        <v>176</v>
      </c>
      <c r="C84" s="26">
        <v>24</v>
      </c>
      <c r="D84" s="8">
        <v>-1</v>
      </c>
      <c r="E84" s="7">
        <v>-7.0335157533029102E-3</v>
      </c>
      <c r="F84" s="9">
        <v>5.5999732972210037</v>
      </c>
      <c r="G84" s="9">
        <v>1.9999809265864312</v>
      </c>
      <c r="H84" s="8">
        <v>-82.935945757885904</v>
      </c>
      <c r="I84" s="8">
        <v>20.23435246984727</v>
      </c>
      <c r="J84" s="7">
        <v>-1.7499449493487251E-2</v>
      </c>
      <c r="K84" s="7">
        <v>-2.2955614744303521E-2</v>
      </c>
      <c r="L84" s="7">
        <v>-6.9442461055357896E-3</v>
      </c>
      <c r="M84" s="8">
        <v>12.380152110258408</v>
      </c>
      <c r="N84" s="8">
        <v>36.160909099036466</v>
      </c>
      <c r="O84" s="8">
        <v>-88.220041276496801</v>
      </c>
      <c r="P84" s="8">
        <v>52.475861395175762</v>
      </c>
      <c r="Q84" s="9">
        <v>0.64072306788552114</v>
      </c>
      <c r="R84" s="9">
        <v>0.50334851781343493</v>
      </c>
      <c r="S84" s="8">
        <v>-83.533421394917312</v>
      </c>
      <c r="T84" s="9">
        <v>4.8506363560521154E-2</v>
      </c>
      <c r="U84" s="8">
        <v>43.568962041347177</v>
      </c>
      <c r="V84" s="7">
        <v>-4.5485094252237346E-2</v>
      </c>
      <c r="W84" s="7">
        <v>4.0267656872755948E-3</v>
      </c>
      <c r="X84" s="9">
        <v>0.13231031525101555</v>
      </c>
      <c r="Y84" s="9">
        <v>0.22789138657700359</v>
      </c>
      <c r="Z84" s="8">
        <v>16.713930515688677</v>
      </c>
      <c r="AA84" s="8">
        <v>82.439040797406534</v>
      </c>
      <c r="AB84" s="6">
        <v>0.47142832619803293</v>
      </c>
      <c r="AC84" s="8">
        <v>69.167078485530041</v>
      </c>
      <c r="AD84" s="8">
        <v>0</v>
      </c>
      <c r="AE84" s="8">
        <v>0</v>
      </c>
      <c r="AF84" s="8">
        <v>0</v>
      </c>
      <c r="AG84" s="8">
        <v>0</v>
      </c>
      <c r="AH84" s="8">
        <v>-1</v>
      </c>
      <c r="AI84" s="8">
        <v>0</v>
      </c>
    </row>
    <row r="85" spans="1:35" ht="15" x14ac:dyDescent="0.25">
      <c r="A85" s="15" t="str">
        <f>IFERROR(RIGHT(IF(VLOOKUP(B85,Patterns!H:I,2,0)="NO_PATTERN","",VLOOKUP(B85,Patterns!H:I,2,0)),LEN(IF(VLOOKUP(B85,Patterns!H:I,2,0)="NO_PATTERN","",VLOOKUP(B85,Patterns!H:I,2,0)))-3),"")</f>
        <v>BELTHOLD_Bull</v>
      </c>
      <c r="B85" s="3" t="s">
        <v>207</v>
      </c>
      <c r="C85" s="26">
        <v>6.179999828338623</v>
      </c>
      <c r="D85" s="8">
        <v>1</v>
      </c>
      <c r="E85" s="7">
        <v>-2.982732506027086E-2</v>
      </c>
      <c r="F85" s="9">
        <v>0.64705651359265781</v>
      </c>
      <c r="G85" s="9">
        <v>0</v>
      </c>
      <c r="H85" s="8">
        <v>-87.044179949488637</v>
      </c>
      <c r="I85" s="8">
        <v>-57.284466832579092</v>
      </c>
      <c r="J85" s="7">
        <v>-5.0999648414237375E-2</v>
      </c>
      <c r="K85" s="7">
        <v>-3.4439072564357506E-2</v>
      </c>
      <c r="L85" s="7">
        <v>4.0752163768690189E-2</v>
      </c>
      <c r="M85" s="8">
        <v>12.32425801717001</v>
      </c>
      <c r="N85" s="8">
        <v>34.244769094082272</v>
      </c>
      <c r="O85" s="8">
        <v>-88.84282804204598</v>
      </c>
      <c r="P85" s="8">
        <v>23.117826274286486</v>
      </c>
      <c r="Q85" s="9">
        <v>0.71254164461188796</v>
      </c>
      <c r="R85" s="9">
        <v>0.81934989492586752</v>
      </c>
      <c r="S85" s="8">
        <v>-86.165929057417458</v>
      </c>
      <c r="T85" s="9">
        <v>8.750091400308993E-2</v>
      </c>
      <c r="U85" s="8">
        <v>72.027188754184351</v>
      </c>
      <c r="V85" s="7">
        <v>-0.11360629893262364</v>
      </c>
      <c r="W85" s="7">
        <v>-2.0249147956009957E-2</v>
      </c>
      <c r="X85" s="9">
        <v>0.29683492533066669</v>
      </c>
      <c r="Y85" s="9">
        <v>0.31058061124391595</v>
      </c>
      <c r="Z85" s="8">
        <v>17.559312147475953</v>
      </c>
      <c r="AA85" s="8">
        <v>-73.72494035854227</v>
      </c>
      <c r="AB85" s="6">
        <v>0.22285713468279159</v>
      </c>
      <c r="AC85" s="8">
        <v>-82.760291612788734</v>
      </c>
      <c r="AD85" s="8">
        <v>0</v>
      </c>
      <c r="AE85" s="8">
        <v>0</v>
      </c>
      <c r="AF85" s="8">
        <v>0</v>
      </c>
      <c r="AG85" s="8">
        <v>0</v>
      </c>
      <c r="AH85" s="8">
        <v>0</v>
      </c>
      <c r="AI85" s="8">
        <v>0</v>
      </c>
    </row>
    <row r="86" spans="1:35" ht="15" x14ac:dyDescent="0.25">
      <c r="A86" s="15" t="str">
        <f>IFERROR(RIGHT(IF(VLOOKUP(B86,Patterns!H:I,2,0)="NO_PATTERN","",VLOOKUP(B86,Patterns!H:I,2,0)),LEN(IF(VLOOKUP(B86,Patterns!H:I,2,0)="NO_PATTERN","",VLOOKUP(B86,Patterns!H:I,2,0)))-3),"")</f>
        <v>CLOSINGMARUBOZU_Bull</v>
      </c>
      <c r="B86" s="3" t="s">
        <v>156</v>
      </c>
      <c r="C86" s="26">
        <v>18.809999465942383</v>
      </c>
      <c r="D86" s="8">
        <v>1</v>
      </c>
      <c r="E86" s="7">
        <v>-1.2079907485581742E-2</v>
      </c>
      <c r="F86" s="9">
        <v>3.4999659405185217</v>
      </c>
      <c r="G86" s="9">
        <v>1.4999795643111129</v>
      </c>
      <c r="H86" s="8">
        <v>-83.434051519115314</v>
      </c>
      <c r="I86" s="8">
        <v>60.034463652734594</v>
      </c>
      <c r="J86" s="7">
        <v>-2.831343829240552E-2</v>
      </c>
      <c r="K86" s="7">
        <v>-2.8070505585029548E-2</v>
      </c>
      <c r="L86" s="7">
        <v>-0.10230836441919826</v>
      </c>
      <c r="M86" s="8">
        <v>12.289914758357511</v>
      </c>
      <c r="N86" s="8">
        <v>39.23503400820703</v>
      </c>
      <c r="O86" s="8">
        <v>-88.82245159700669</v>
      </c>
      <c r="P86" s="8">
        <v>62.479065508584341</v>
      </c>
      <c r="Q86" s="9">
        <v>0.67619398856721391</v>
      </c>
      <c r="R86" s="9">
        <v>0.34485559446611891</v>
      </c>
      <c r="S86" s="8">
        <v>-80.197797669247436</v>
      </c>
      <c r="T86" s="9">
        <v>0.10337098385653162</v>
      </c>
      <c r="U86" s="8">
        <v>-36.235971341289869</v>
      </c>
      <c r="V86" s="7">
        <v>-8.0703325195320391E-2</v>
      </c>
      <c r="W86" s="7">
        <v>2.5519844031478583E-2</v>
      </c>
      <c r="X86" s="9">
        <v>0.2452347345541771</v>
      </c>
      <c r="Y86" s="9">
        <v>0.27063839682609536</v>
      </c>
      <c r="Z86" s="8">
        <v>15.858466181217917</v>
      </c>
      <c r="AA86" s="8">
        <v>-63.630914117217422</v>
      </c>
      <c r="AB86" s="6">
        <v>0.50571455274309429</v>
      </c>
      <c r="AC86" s="8">
        <v>37.621817267490002</v>
      </c>
      <c r="AD86" s="8">
        <v>0</v>
      </c>
      <c r="AE86" s="8">
        <v>0</v>
      </c>
      <c r="AF86" s="8">
        <v>0</v>
      </c>
      <c r="AG86" s="8">
        <v>-1</v>
      </c>
      <c r="AH86" s="8">
        <v>-1</v>
      </c>
      <c r="AI86" s="8">
        <v>0</v>
      </c>
    </row>
    <row r="87" spans="1:35" ht="15" x14ac:dyDescent="0.25">
      <c r="A87" s="15" t="str">
        <f>IFERROR(RIGHT(IF(VLOOKUP(B87,Patterns!H:I,2,0)="NO_PATTERN","",VLOOKUP(B87,Patterns!H:I,2,0)),LEN(IF(VLOOKUP(B87,Patterns!H:I,2,0)="NO_PATTERN","",VLOOKUP(B87,Patterns!H:I,2,0)))-3),"")</f>
        <v>SPINNINGTOP_Bull</v>
      </c>
      <c r="B87" s="3" t="s">
        <v>172</v>
      </c>
      <c r="C87" s="26">
        <v>30.260000228881836</v>
      </c>
      <c r="D87" s="8">
        <v>1</v>
      </c>
      <c r="E87" s="7">
        <v>-1.2402061629772199E-2</v>
      </c>
      <c r="F87" s="9">
        <v>52.498855617013163</v>
      </c>
      <c r="G87" s="9">
        <v>10.999713904253291</v>
      </c>
      <c r="H87" s="8">
        <v>-83.33157879721675</v>
      </c>
      <c r="I87" s="8">
        <v>-50.117811512425519</v>
      </c>
      <c r="J87" s="7">
        <v>-2.5023307982495944E-2</v>
      </c>
      <c r="K87" s="7">
        <v>-4.0013520474251767E-2</v>
      </c>
      <c r="L87" s="7">
        <v>-4.0040045212873687E-2</v>
      </c>
      <c r="M87" s="8">
        <v>12.271877854896317</v>
      </c>
      <c r="N87" s="8">
        <v>35.904575403621848</v>
      </c>
      <c r="O87" s="8">
        <v>-88.09107231467469</v>
      </c>
      <c r="P87" s="8">
        <v>49.200279853613715</v>
      </c>
      <c r="Q87" s="9">
        <v>0.48422927941910854</v>
      </c>
      <c r="R87" s="9">
        <v>0.13928476524803846</v>
      </c>
      <c r="S87" s="8">
        <v>-82.477646415075867</v>
      </c>
      <c r="T87" s="9">
        <v>0.11242857174187469</v>
      </c>
      <c r="U87" s="8">
        <v>63.416056359722113</v>
      </c>
      <c r="V87" s="7">
        <v>-0.10132852158974638</v>
      </c>
      <c r="W87" s="7">
        <v>1.590222822805688E-2</v>
      </c>
      <c r="X87" s="9">
        <v>0.30785910732067728</v>
      </c>
      <c r="Y87" s="9">
        <v>0.30082901242002069</v>
      </c>
      <c r="Z87" s="8">
        <v>25.042065107535311</v>
      </c>
      <c r="AA87" s="8">
        <v>84.146249221706341</v>
      </c>
      <c r="AB87" s="6">
        <v>1.1578576224190849</v>
      </c>
      <c r="AC87" s="8">
        <v>58.860983301706128</v>
      </c>
      <c r="AD87" s="8">
        <v>0</v>
      </c>
      <c r="AE87" s="8">
        <v>0</v>
      </c>
      <c r="AF87" s="8">
        <v>0</v>
      </c>
      <c r="AG87" s="8">
        <v>0</v>
      </c>
      <c r="AH87" s="8">
        <v>0</v>
      </c>
      <c r="AI87" s="8">
        <v>0</v>
      </c>
    </row>
    <row r="88" spans="1:35" ht="15" x14ac:dyDescent="0.25">
      <c r="A88" s="15" t="str">
        <f>IFERROR(RIGHT(IF(VLOOKUP(B88,Patterns!H:I,2,0)="NO_PATTERN","",VLOOKUP(B88,Patterns!H:I,2,0)),LEN(IF(VLOOKUP(B88,Patterns!H:I,2,0)="NO_PATTERN","",VLOOKUP(B88,Patterns!H:I,2,0)))-3),"")</f>
        <v>BELTHOLD_Bull</v>
      </c>
      <c r="B88" s="3" t="s">
        <v>120</v>
      </c>
      <c r="C88" s="26">
        <v>25.120000839233398</v>
      </c>
      <c r="D88" s="8">
        <v>1</v>
      </c>
      <c r="E88" s="7">
        <v>-6.7220272890370358E-3</v>
      </c>
      <c r="F88" s="9"/>
      <c r="G88" s="9"/>
      <c r="H88" s="8">
        <v>-82.011147030490477</v>
      </c>
      <c r="I88" s="8">
        <v>-35.233251008062965</v>
      </c>
      <c r="J88" s="7">
        <v>-2.9307051749028194E-2</v>
      </c>
      <c r="K88" s="7">
        <v>8.0259597476504643E-2</v>
      </c>
      <c r="L88" s="7">
        <v>0.25545389499500631</v>
      </c>
      <c r="M88" s="8">
        <v>11.638371872996316</v>
      </c>
      <c r="N88" s="8">
        <v>47.088990178764455</v>
      </c>
      <c r="O88" s="8">
        <v>-87.99509708358292</v>
      </c>
      <c r="P88" s="8">
        <v>33.575971189634906</v>
      </c>
      <c r="Q88" s="9">
        <v>0.41925902320456609</v>
      </c>
      <c r="R88" s="9">
        <v>0.2827291068044262</v>
      </c>
      <c r="S88" s="8">
        <v>-74.134784183950543</v>
      </c>
      <c r="T88" s="9">
        <v>0.17261595660205264</v>
      </c>
      <c r="U88" s="8">
        <v>-87.058125560217164</v>
      </c>
      <c r="V88" s="7">
        <v>-0.11348726556971539</v>
      </c>
      <c r="W88" s="7">
        <v>6.3447520282753259E-2</v>
      </c>
      <c r="X88" s="9">
        <v>0.37528866457397769</v>
      </c>
      <c r="Y88" s="9">
        <v>0.32271192727061232</v>
      </c>
      <c r="Z88" s="8">
        <v>40.809312309403644</v>
      </c>
      <c r="AA88" s="8">
        <v>-87.351447009176596</v>
      </c>
      <c r="AB88" s="6">
        <v>0.90357140132359093</v>
      </c>
      <c r="AC88" s="8">
        <v>65.184988633326654</v>
      </c>
      <c r="AD88" s="8">
        <v>0</v>
      </c>
      <c r="AE88" s="8">
        <v>0</v>
      </c>
      <c r="AF88" s="8">
        <v>0</v>
      </c>
      <c r="AG88" s="8">
        <v>0</v>
      </c>
      <c r="AH88" s="8">
        <v>-1</v>
      </c>
      <c r="AI88" s="8">
        <v>0</v>
      </c>
    </row>
    <row r="89" spans="1:35" ht="15" x14ac:dyDescent="0.25">
      <c r="A89" s="15" t="str">
        <f>IFERROR(RIGHT(IF(VLOOKUP(B89,Patterns!H:I,2,0)="NO_PATTERN","",VLOOKUP(B89,Patterns!H:I,2,0)),LEN(IF(VLOOKUP(B89,Patterns!H:I,2,0)="NO_PATTERN","",VLOOKUP(B89,Patterns!H:I,2,0)))-3),"")</f>
        <v>BELTHOLD_Bull</v>
      </c>
      <c r="B89" s="3" t="s">
        <v>131</v>
      </c>
      <c r="C89" s="26">
        <v>16.829999923706055</v>
      </c>
      <c r="D89" s="8">
        <v>1</v>
      </c>
      <c r="E89" s="7">
        <v>-1.1744025535846747E-2</v>
      </c>
      <c r="F89" s="9">
        <v>20.499523173755485</v>
      </c>
      <c r="G89" s="9">
        <v>17.999523173755485</v>
      </c>
      <c r="H89" s="8">
        <v>-88.087912233601003</v>
      </c>
      <c r="I89" s="8">
        <v>-70.437913385152441</v>
      </c>
      <c r="J89" s="7">
        <v>-4.9734538644608799E-2</v>
      </c>
      <c r="K89" s="7">
        <v>-9.0951943762909063E-2</v>
      </c>
      <c r="L89" s="7">
        <v>-0.15783666981953959</v>
      </c>
      <c r="M89" s="8">
        <v>11.620903282556824</v>
      </c>
      <c r="N89" s="8">
        <v>32.231303980578772</v>
      </c>
      <c r="O89" s="8">
        <v>-88.83571066281192</v>
      </c>
      <c r="P89" s="8">
        <v>32.524171334655108</v>
      </c>
      <c r="Q89" s="9">
        <v>0.62279168289832465</v>
      </c>
      <c r="R89" s="9">
        <v>0.28309660518318558</v>
      </c>
      <c r="S89" s="8">
        <v>-85.856694272125139</v>
      </c>
      <c r="T89" s="9">
        <v>0.10474897560692967</v>
      </c>
      <c r="U89" s="8">
        <v>84.705602927800967</v>
      </c>
      <c r="V89" s="7">
        <v>-0.11706144209160128</v>
      </c>
      <c r="W89" s="7">
        <v>-5.8737963388784111E-3</v>
      </c>
      <c r="X89" s="9">
        <v>0.30906242395839223</v>
      </c>
      <c r="Y89" s="9">
        <v>0.30095671820062897</v>
      </c>
      <c r="Z89" s="8">
        <v>22.587056910622046</v>
      </c>
      <c r="AA89" s="8">
        <v>57.260033546728764</v>
      </c>
      <c r="AB89" s="6">
        <v>0.60571438925606869</v>
      </c>
      <c r="AC89" s="8">
        <v>76.99916137655994</v>
      </c>
      <c r="AD89" s="8">
        <v>0</v>
      </c>
      <c r="AE89" s="8">
        <v>0</v>
      </c>
      <c r="AF89" s="8">
        <v>0</v>
      </c>
      <c r="AG89" s="8">
        <v>0</v>
      </c>
      <c r="AH89" s="8">
        <v>0</v>
      </c>
      <c r="AI89" s="8">
        <v>0</v>
      </c>
    </row>
    <row r="90" spans="1:35" ht="15" x14ac:dyDescent="0.25">
      <c r="A90" s="15" t="str">
        <f>IFERROR(RIGHT(IF(VLOOKUP(B90,Patterns!H:I,2,0)="NO_PATTERN","",VLOOKUP(B90,Patterns!H:I,2,0)),LEN(IF(VLOOKUP(B90,Patterns!H:I,2,0)="NO_PATTERN","",VLOOKUP(B90,Patterns!H:I,2,0)))-3),"")</f>
        <v>BELTHOLD_Bull</v>
      </c>
      <c r="B90" s="3" t="s">
        <v>139</v>
      </c>
      <c r="C90" s="26">
        <v>5.380000114440918</v>
      </c>
      <c r="D90" s="8">
        <v>1</v>
      </c>
      <c r="E90" s="7">
        <v>-3.7567089877404203E-2</v>
      </c>
      <c r="F90" s="9">
        <v>2.777787785507277</v>
      </c>
      <c r="G90" s="9">
        <v>0.44445092003412046</v>
      </c>
      <c r="H90" s="8">
        <v>-84.755140274254472</v>
      </c>
      <c r="I90" s="8">
        <v>20.579240538597446</v>
      </c>
      <c r="J90" s="7">
        <v>-6.0929390056565037E-2</v>
      </c>
      <c r="K90" s="7">
        <v>-0.13832149376381089</v>
      </c>
      <c r="L90" s="7">
        <v>-0.22359000545462834</v>
      </c>
      <c r="M90" s="8">
        <v>11.3737697679733</v>
      </c>
      <c r="N90" s="8">
        <v>32.895591362134851</v>
      </c>
      <c r="O90" s="8">
        <v>-88.349103522976293</v>
      </c>
      <c r="P90" s="8">
        <v>35.358461792328683</v>
      </c>
      <c r="Q90" s="9">
        <v>0.13890660156499091</v>
      </c>
      <c r="R90" s="9">
        <v>0.19053561997645363</v>
      </c>
      <c r="S90" s="8">
        <v>-82.147210746474286</v>
      </c>
      <c r="T90" s="9">
        <v>0.15129827048212169</v>
      </c>
      <c r="U90" s="8">
        <v>-46.487878328270682</v>
      </c>
      <c r="V90" s="7">
        <v>-0.15619836833639567</v>
      </c>
      <c r="W90" s="7">
        <v>6.4297673003651662E-3</v>
      </c>
      <c r="X90" s="9">
        <v>0.44419134358569762</v>
      </c>
      <c r="Y90" s="9">
        <v>0.40560988013097099</v>
      </c>
      <c r="Z90" s="8">
        <v>29.729761608482256</v>
      </c>
      <c r="AA90" s="8">
        <v>-78.295443868578786</v>
      </c>
      <c r="AB90" s="6">
        <v>0.32778903416224886</v>
      </c>
      <c r="AC90" s="8">
        <v>24.188841842514261</v>
      </c>
      <c r="AD90" s="8">
        <v>0</v>
      </c>
      <c r="AE90" s="8">
        <v>0</v>
      </c>
      <c r="AF90" s="8">
        <v>0</v>
      </c>
      <c r="AG90" s="8">
        <v>-1</v>
      </c>
      <c r="AH90" s="8">
        <v>-1</v>
      </c>
      <c r="AI90" s="8">
        <v>0</v>
      </c>
    </row>
    <row r="91" spans="1:35" ht="15" x14ac:dyDescent="0.25">
      <c r="A91" s="15" t="str">
        <f>IFERROR(RIGHT(IF(VLOOKUP(B91,Patterns!H:I,2,0)="NO_PATTERN","",VLOOKUP(B91,Patterns!H:I,2,0)),LEN(IF(VLOOKUP(B91,Patterns!H:I,2,0)="NO_PATTERN","",VLOOKUP(B91,Patterns!H:I,2,0)))-3),"")</f>
        <v>LONGLINE_Bull</v>
      </c>
      <c r="B91" s="3" t="s">
        <v>185</v>
      </c>
      <c r="C91" s="26">
        <v>6.679999828338623</v>
      </c>
      <c r="D91" s="8">
        <v>1</v>
      </c>
      <c r="E91" s="7">
        <v>0</v>
      </c>
      <c r="F91" s="9">
        <v>4.8750029802350809</v>
      </c>
      <c r="G91" s="9">
        <v>1.8750029802350809</v>
      </c>
      <c r="H91" s="8">
        <v>-84.6191959328374</v>
      </c>
      <c r="I91" s="8">
        <v>-45.299522827264056</v>
      </c>
      <c r="J91" s="7">
        <v>-6.8974243232062374E-2</v>
      </c>
      <c r="K91" s="7">
        <v>-0.1530976271354155</v>
      </c>
      <c r="L91" s="7">
        <v>-0.37099814358484667</v>
      </c>
      <c r="M91" s="8">
        <v>10.993767050488074</v>
      </c>
      <c r="N91" s="8">
        <v>32.952396361016497</v>
      </c>
      <c r="O91" s="8">
        <v>-88.137587476345118</v>
      </c>
      <c r="P91" s="8">
        <v>31.749628783727463</v>
      </c>
      <c r="Q91" s="9">
        <v>1.8698063868564936</v>
      </c>
      <c r="R91" s="9">
        <v>2.2300529780061007</v>
      </c>
      <c r="S91" s="8">
        <v>-79.295875393657312</v>
      </c>
      <c r="T91" s="9">
        <v>0.1991881061393278</v>
      </c>
      <c r="U91" s="8">
        <v>12.83050584527523</v>
      </c>
      <c r="V91" s="7">
        <v>-0.21547945202277144</v>
      </c>
      <c r="W91" s="7">
        <v>4.7009403900503694E-3</v>
      </c>
      <c r="X91" s="9">
        <v>0.54543600003474024</v>
      </c>
      <c r="Y91" s="9">
        <v>0.41016941939258073</v>
      </c>
      <c r="Z91" s="8">
        <v>17.938307154926395</v>
      </c>
      <c r="AA91" s="8">
        <v>74.775132972040396</v>
      </c>
      <c r="AB91" s="6">
        <v>0.36214283534458708</v>
      </c>
      <c r="AC91" s="8">
        <v>66.725191008779646</v>
      </c>
      <c r="AD91" s="8">
        <v>0</v>
      </c>
      <c r="AE91" s="8">
        <v>0</v>
      </c>
      <c r="AF91" s="8">
        <v>0</v>
      </c>
      <c r="AG91" s="8">
        <v>0</v>
      </c>
      <c r="AH91" s="8">
        <v>0</v>
      </c>
      <c r="AI91" s="8">
        <v>0</v>
      </c>
    </row>
    <row r="92" spans="1:35" ht="15" x14ac:dyDescent="0.25">
      <c r="A92" s="15" t="str">
        <f>IFERROR(RIGHT(IF(VLOOKUP(B92,Patterns!H:I,2,0)="NO_PATTERN","",VLOOKUP(B92,Patterns!H:I,2,0)),LEN(IF(VLOOKUP(B92,Patterns!H:I,2,0)="NO_PATTERN","",VLOOKUP(B92,Patterns!H:I,2,0)))-3),"")</f>
        <v>LONGLINE_Bear</v>
      </c>
      <c r="B92" s="3" t="s">
        <v>124</v>
      </c>
      <c r="C92" s="26">
        <v>25.090000152587891</v>
      </c>
      <c r="D92" s="8">
        <v>-1</v>
      </c>
      <c r="E92" s="7">
        <v>7.9778452361933816E-4</v>
      </c>
      <c r="F92" s="9">
        <v>3.3845770122362744</v>
      </c>
      <c r="G92" s="9">
        <v>5.5384107514891872</v>
      </c>
      <c r="H92" s="8">
        <v>-73.16310587932351</v>
      </c>
      <c r="I92" s="8">
        <v>-67.250890354056153</v>
      </c>
      <c r="J92" s="7">
        <v>-4.5460549611204638E-2</v>
      </c>
      <c r="K92" s="7">
        <v>-0.25984545314215446</v>
      </c>
      <c r="L92" s="7">
        <v>-0.37031277911271421</v>
      </c>
      <c r="M92" s="8">
        <v>10.874187612792994</v>
      </c>
      <c r="N92" s="8">
        <v>25.774330173803151</v>
      </c>
      <c r="O92" s="8">
        <v>-83.786104528756354</v>
      </c>
      <c r="P92" s="8">
        <v>10.970836535288923</v>
      </c>
      <c r="Q92" s="9">
        <v>0.20373133994715498</v>
      </c>
      <c r="R92" s="9">
        <v>0.13679648942007638</v>
      </c>
      <c r="S92" s="8">
        <v>-76.483672876486835</v>
      </c>
      <c r="T92" s="9">
        <v>0.19550708202901779</v>
      </c>
      <c r="U92" s="8">
        <v>81.445617951002873</v>
      </c>
      <c r="V92" s="7">
        <v>-0.20282547967621253</v>
      </c>
      <c r="W92" s="7">
        <v>1.1394644363944717E-2</v>
      </c>
      <c r="X92" s="9">
        <v>0.47425802687358032</v>
      </c>
      <c r="Y92" s="9">
        <v>0.51213400794316988</v>
      </c>
      <c r="Z92" s="8">
        <v>33.629356198936343</v>
      </c>
      <c r="AA92" s="8">
        <v>75.511940445168051</v>
      </c>
      <c r="AB92" s="6">
        <v>1.1950002397809709</v>
      </c>
      <c r="AC92" s="8">
        <v>-68.108454329858645</v>
      </c>
      <c r="AD92" s="8">
        <v>0</v>
      </c>
      <c r="AE92" s="8">
        <v>0</v>
      </c>
      <c r="AF92" s="8">
        <v>0</v>
      </c>
      <c r="AG92" s="8">
        <v>0</v>
      </c>
      <c r="AH92" s="8">
        <v>0</v>
      </c>
      <c r="AI92" s="8">
        <v>0</v>
      </c>
    </row>
    <row r="93" spans="1:35" ht="15" x14ac:dyDescent="0.25">
      <c r="A93" s="15" t="str">
        <f>IFERROR(RIGHT(IF(VLOOKUP(B93,Patterns!H:I,2,0)="NO_PATTERN","",VLOOKUP(B93,Patterns!H:I,2,0)),LEN(IF(VLOOKUP(B93,Patterns!H:I,2,0)="NO_PATTERN","",VLOOKUP(B93,Patterns!H:I,2,0)))-3),"")</f>
        <v>SHOOTINGSTAR_Bear</v>
      </c>
      <c r="B93" s="3" t="s">
        <v>136</v>
      </c>
      <c r="C93" s="26">
        <v>31.879999160766602</v>
      </c>
      <c r="D93" s="8">
        <v>-1</v>
      </c>
      <c r="E93" s="7">
        <v>-2.0884587955890543E-2</v>
      </c>
      <c r="F93" s="9">
        <v>12.000073360036387</v>
      </c>
      <c r="G93" s="9">
        <v>3.3077306806344176</v>
      </c>
      <c r="H93" s="8">
        <v>-86.44974989399519</v>
      </c>
      <c r="I93" s="8">
        <v>-51.703821286072255</v>
      </c>
      <c r="J93" s="7">
        <v>-6.2328328526437153E-2</v>
      </c>
      <c r="K93" s="7">
        <v>-0.12814598359564983</v>
      </c>
      <c r="L93" s="7">
        <v>-5.7393385141063333E-2</v>
      </c>
      <c r="M93" s="8">
        <v>10.862025690804444</v>
      </c>
      <c r="N93" s="8">
        <v>30.845826860739024</v>
      </c>
      <c r="O93" s="8">
        <v>-88.225338800424524</v>
      </c>
      <c r="P93" s="8">
        <v>28.622586419078932</v>
      </c>
      <c r="Q93" s="9">
        <v>0.81701106380902422</v>
      </c>
      <c r="R93" s="9">
        <v>0.565323276626432</v>
      </c>
      <c r="S93" s="8">
        <v>-85.333105180329127</v>
      </c>
      <c r="T93" s="9">
        <v>0.17879129051542958</v>
      </c>
      <c r="U93" s="8">
        <v>-40.294846430157662</v>
      </c>
      <c r="V93" s="7">
        <v>-0.19308986812488479</v>
      </c>
      <c r="W93" s="7">
        <v>2.7196875232551893E-3</v>
      </c>
      <c r="X93" s="9">
        <v>0.42362204410655963</v>
      </c>
      <c r="Y93" s="9">
        <v>0.38970607041861638</v>
      </c>
      <c r="Z93" s="8">
        <v>17.842524723154277</v>
      </c>
      <c r="AA93" s="8">
        <v>83.453931090477866</v>
      </c>
      <c r="AB93" s="6">
        <v>1.6285706928798132</v>
      </c>
      <c r="AC93" s="8">
        <v>84.144843158338702</v>
      </c>
      <c r="AD93" s="8">
        <v>0</v>
      </c>
      <c r="AE93" s="8">
        <v>0</v>
      </c>
      <c r="AF93" s="8">
        <v>0</v>
      </c>
      <c r="AG93" s="8">
        <v>0</v>
      </c>
      <c r="AH93" s="8">
        <v>0</v>
      </c>
      <c r="AI93" s="8">
        <v>0</v>
      </c>
    </row>
    <row r="94" spans="1:35" ht="15" x14ac:dyDescent="0.25">
      <c r="A94" s="15" t="str">
        <f>IFERROR(RIGHT(IF(VLOOKUP(B94,Patterns!H:I,2,0)="NO_PATTERN","",VLOOKUP(B94,Patterns!H:I,2,0)),LEN(IF(VLOOKUP(B94,Patterns!H:I,2,0)="NO_PATTERN","",VLOOKUP(B94,Patterns!H:I,2,0)))-3),"")</f>
        <v>CLOSINGMARUBOZU_Bull</v>
      </c>
      <c r="B94" s="3" t="s">
        <v>218</v>
      </c>
      <c r="C94" s="26">
        <v>13.510000228881836</v>
      </c>
      <c r="D94" s="8">
        <v>1</v>
      </c>
      <c r="E94" s="7">
        <v>-2.9520266634666115E-3</v>
      </c>
      <c r="F94" s="9">
        <v>53.99876025176426</v>
      </c>
      <c r="G94" s="9">
        <v>13.999618539004388</v>
      </c>
      <c r="H94" s="8">
        <v>-83.869513232408465</v>
      </c>
      <c r="I94" s="8">
        <v>36.990499781202097</v>
      </c>
      <c r="J94" s="7">
        <v>-2.5210473958922466E-2</v>
      </c>
      <c r="K94" s="7">
        <v>-3.3594608728185718E-2</v>
      </c>
      <c r="L94" s="7">
        <v>-6.8750728043993806E-2</v>
      </c>
      <c r="M94" s="8">
        <v>10.28679534957503</v>
      </c>
      <c r="N94" s="8">
        <v>35.505700155177465</v>
      </c>
      <c r="O94" s="8">
        <v>-88.693765951545373</v>
      </c>
      <c r="P94" s="8">
        <v>50.5851168395805</v>
      </c>
      <c r="Q94" s="9">
        <v>0.65857576585115107</v>
      </c>
      <c r="R94" s="9">
        <v>0.71657722003870483</v>
      </c>
      <c r="S94" s="8">
        <v>-84.595819080029315</v>
      </c>
      <c r="T94" s="9">
        <v>9.3771272851082693E-2</v>
      </c>
      <c r="U94" s="8">
        <v>-8.3273131593218395</v>
      </c>
      <c r="V94" s="7">
        <v>-7.9900170980787166E-2</v>
      </c>
      <c r="W94" s="7">
        <v>1.6828268173963351E-2</v>
      </c>
      <c r="X94" s="9">
        <v>0.2197429284888596</v>
      </c>
      <c r="Y94" s="9">
        <v>0.2959989338403079</v>
      </c>
      <c r="Z94" s="8">
        <v>17.41709090494502</v>
      </c>
      <c r="AA94" s="8">
        <v>69.460376351400626</v>
      </c>
      <c r="AB94" s="6">
        <v>0.3728572300502232</v>
      </c>
      <c r="AC94" s="8">
        <v>34.009322870542832</v>
      </c>
      <c r="AD94" s="8">
        <v>0</v>
      </c>
      <c r="AE94" s="8">
        <v>0</v>
      </c>
      <c r="AF94" s="8">
        <v>0</v>
      </c>
      <c r="AG94" s="8">
        <v>0</v>
      </c>
      <c r="AH94" s="8">
        <v>-1</v>
      </c>
      <c r="AI94" s="8">
        <v>0</v>
      </c>
    </row>
    <row r="95" spans="1:35" ht="15" x14ac:dyDescent="0.25">
      <c r="A95" s="15" t="str">
        <f>IFERROR(RIGHT(IF(VLOOKUP(B95,Patterns!H:I,2,0)="NO_PATTERN","",VLOOKUP(B95,Patterns!H:I,2,0)),LEN(IF(VLOOKUP(B95,Patterns!H:I,2,0)="NO_PATTERN","",VLOOKUP(B95,Patterns!H:I,2,0)))-3),"")</f>
        <v>SPINNINGTOP_Bear</v>
      </c>
      <c r="B95" s="3" t="s">
        <v>232</v>
      </c>
      <c r="C95" s="26">
        <v>6.7399997711181641</v>
      </c>
      <c r="D95" s="8">
        <v>-1</v>
      </c>
      <c r="E95" s="7">
        <v>-5.865922978277005E-2</v>
      </c>
      <c r="F95" s="9">
        <v>0.64705791605425844</v>
      </c>
      <c r="G95" s="9">
        <v>0</v>
      </c>
      <c r="H95" s="8">
        <v>-83.654587819333202</v>
      </c>
      <c r="I95" s="8">
        <v>-66.453595504824918</v>
      </c>
      <c r="J95" s="7">
        <v>-0.10905903521326536</v>
      </c>
      <c r="K95" s="7">
        <v>-0.2888135754522862</v>
      </c>
      <c r="L95" s="7">
        <v>-0.63664273394828796</v>
      </c>
      <c r="M95" s="8">
        <v>9.8062274653720465</v>
      </c>
      <c r="N95" s="8">
        <v>25.986665338156214</v>
      </c>
      <c r="O95" s="8">
        <v>-87.973456207768706</v>
      </c>
      <c r="P95" s="8">
        <v>15.057368781228435</v>
      </c>
      <c r="Q95" s="9">
        <v>0.11045032294975843</v>
      </c>
      <c r="R95" s="9">
        <v>0.1037111361019265</v>
      </c>
      <c r="S95" s="8">
        <v>-73.696003704653634</v>
      </c>
      <c r="T95" s="9">
        <v>0.20074873714220395</v>
      </c>
      <c r="U95" s="8">
        <v>80.22688331899117</v>
      </c>
      <c r="V95" s="7">
        <v>-0.27800158981645295</v>
      </c>
      <c r="W95" s="7">
        <v>-4.4847117530320141E-2</v>
      </c>
      <c r="X95" s="9">
        <v>0.53972359932702507</v>
      </c>
      <c r="Y95" s="9">
        <v>0.44089488692471074</v>
      </c>
      <c r="Z95" s="8">
        <v>43.101778371449299</v>
      </c>
      <c r="AA95" s="8">
        <v>83.666760583604784</v>
      </c>
      <c r="AB95" s="6">
        <v>0.43428564071655273</v>
      </c>
      <c r="AC95" s="8">
        <v>67.352347851848023</v>
      </c>
      <c r="AD95" s="8">
        <v>0</v>
      </c>
      <c r="AE95" s="8">
        <v>0</v>
      </c>
      <c r="AF95" s="8">
        <v>0</v>
      </c>
      <c r="AG95" s="8">
        <v>0</v>
      </c>
      <c r="AH95" s="8">
        <v>0</v>
      </c>
      <c r="AI95" s="8">
        <v>0</v>
      </c>
    </row>
    <row r="96" spans="1:35" ht="15" x14ac:dyDescent="0.25">
      <c r="A96" s="15" t="str">
        <f>IFERROR(RIGHT(IF(VLOOKUP(B96,Patterns!H:I,2,0)="NO_PATTERN","",VLOOKUP(B96,Patterns!H:I,2,0)),LEN(IF(VLOOKUP(B96,Patterns!H:I,2,0)="NO_PATTERN","",VLOOKUP(B96,Patterns!H:I,2,0)))-3),"")</f>
        <v>BELTHOLD_Bull</v>
      </c>
      <c r="B96" s="3" t="s">
        <v>177</v>
      </c>
      <c r="C96" s="26">
        <v>2.630000114440918</v>
      </c>
      <c r="D96" s="8">
        <v>1</v>
      </c>
      <c r="E96" s="7">
        <v>-3.787875024959475E-3</v>
      </c>
      <c r="F96" s="9">
        <v>3.666674613960216</v>
      </c>
      <c r="G96" s="9">
        <v>1</v>
      </c>
      <c r="H96" s="8">
        <v>-84.24607826103788</v>
      </c>
      <c r="I96" s="8">
        <v>-65.339100025559347</v>
      </c>
      <c r="J96" s="7">
        <v>-4.9308459853849997E-2</v>
      </c>
      <c r="K96" s="7">
        <v>-6.7072366870563782E-2</v>
      </c>
      <c r="L96" s="7">
        <v>-8.6733715613714971E-2</v>
      </c>
      <c r="M96" s="8">
        <v>9.8022663471847125</v>
      </c>
      <c r="N96" s="8">
        <v>34.000094313868289</v>
      </c>
      <c r="O96" s="8">
        <v>-88.701148700842282</v>
      </c>
      <c r="P96" s="8">
        <v>23.205639583066144</v>
      </c>
      <c r="Q96" s="9">
        <v>1.3000587911175323</v>
      </c>
      <c r="R96" s="9">
        <v>1.1632194450302324</v>
      </c>
      <c r="S96" s="8">
        <v>-84.735210202691718</v>
      </c>
      <c r="T96" s="9">
        <v>0.13602044487027795</v>
      </c>
      <c r="U96" s="8">
        <v>-56.325328079352872</v>
      </c>
      <c r="V96" s="7">
        <v>-0.14313637576059052</v>
      </c>
      <c r="W96" s="7">
        <v>2.4520419455852766E-3</v>
      </c>
      <c r="X96" s="9">
        <v>0.42485240959697085</v>
      </c>
      <c r="Y96" s="9">
        <v>0.39249336537301144</v>
      </c>
      <c r="Z96" s="8">
        <v>18.643898166987416</v>
      </c>
      <c r="AA96" s="8">
        <v>-72.410452316470398</v>
      </c>
      <c r="AB96" s="6">
        <v>0.11428577559334892</v>
      </c>
      <c r="AC96" s="8">
        <v>41.366312680381974</v>
      </c>
      <c r="AD96" s="8">
        <v>0</v>
      </c>
      <c r="AE96" s="8">
        <v>0</v>
      </c>
      <c r="AF96" s="8">
        <v>0</v>
      </c>
      <c r="AG96" s="8">
        <v>0</v>
      </c>
      <c r="AH96" s="8">
        <v>0</v>
      </c>
      <c r="AI96" s="8">
        <v>0</v>
      </c>
    </row>
    <row r="97" spans="1:35" ht="15" x14ac:dyDescent="0.25">
      <c r="A97" s="15" t="str">
        <f>IFERROR(RIGHT(IF(VLOOKUP(B97,Patterns!H:I,2,0)="NO_PATTERN","",VLOOKUP(B97,Patterns!H:I,2,0)),LEN(IF(VLOOKUP(B97,Patterns!H:I,2,0)="NO_PATTERN","",VLOOKUP(B97,Patterns!H:I,2,0)))-3),"")</f>
        <v>BELTHOLD_Bull</v>
      </c>
      <c r="B97" s="3" t="s">
        <v>182</v>
      </c>
      <c r="C97" s="26">
        <v>7.369999885559082</v>
      </c>
      <c r="D97" s="8">
        <v>1</v>
      </c>
      <c r="E97" s="7">
        <v>-5.1480063880223415E-2</v>
      </c>
      <c r="F97" s="9">
        <v>1.5333324856233688</v>
      </c>
      <c r="G97" s="9">
        <v>9.999904632628992E-2</v>
      </c>
      <c r="H97" s="8">
        <v>-85.73943072878977</v>
      </c>
      <c r="I97" s="8">
        <v>5.2713277799259348</v>
      </c>
      <c r="J97" s="7">
        <v>-7.4588537827980694E-2</v>
      </c>
      <c r="K97" s="7">
        <v>-0.1227565691149497</v>
      </c>
      <c r="L97" s="7">
        <v>-0.19837430345356138</v>
      </c>
      <c r="M97" s="8">
        <v>9.6412524347497026</v>
      </c>
      <c r="N97" s="8">
        <v>30.231530543433394</v>
      </c>
      <c r="O97" s="8">
        <v>-88.961960272097372</v>
      </c>
      <c r="P97" s="8">
        <v>49.419158878353237</v>
      </c>
      <c r="Q97" s="9">
        <v>1.7471671976728076</v>
      </c>
      <c r="R97" s="9">
        <v>1.639072695661894</v>
      </c>
      <c r="S97" s="8">
        <v>-87.287879579214206</v>
      </c>
      <c r="T97" s="9">
        <v>0.13195015243816025</v>
      </c>
      <c r="U97" s="8">
        <v>16.019486936489091</v>
      </c>
      <c r="V97" s="7">
        <v>-0.16013380900362817</v>
      </c>
      <c r="W97" s="7">
        <v>-1.6528356717020368E-2</v>
      </c>
      <c r="X97" s="9">
        <v>0.3851021606869437</v>
      </c>
      <c r="Y97" s="9">
        <v>0.32403484478883704</v>
      </c>
      <c r="Z97" s="8">
        <v>18.73484386141822</v>
      </c>
      <c r="AA97" s="8">
        <v>78.600143753158633</v>
      </c>
      <c r="AB97" s="6">
        <v>0.34571429661342074</v>
      </c>
      <c r="AC97" s="8">
        <v>82.829963458506796</v>
      </c>
      <c r="AD97" s="8">
        <v>0</v>
      </c>
      <c r="AE97" s="8">
        <v>0</v>
      </c>
      <c r="AF97" s="8">
        <v>0</v>
      </c>
      <c r="AG97" s="8">
        <v>-1</v>
      </c>
      <c r="AH97" s="8">
        <v>-1</v>
      </c>
      <c r="AI97" s="8">
        <v>1</v>
      </c>
    </row>
    <row r="98" spans="1:35" ht="15" x14ac:dyDescent="0.25">
      <c r="A98" s="15" t="str">
        <f>IFERROR(RIGHT(IF(VLOOKUP(B98,Patterns!H:I,2,0)="NO_PATTERN","",VLOOKUP(B98,Patterns!H:I,2,0)),LEN(IF(VLOOKUP(B98,Patterns!H:I,2,0)="NO_PATTERN","",VLOOKUP(B98,Patterns!H:I,2,0)))-3),"")</f>
        <v>BELTHOLD_Bear</v>
      </c>
      <c r="B98" s="3" t="s">
        <v>235</v>
      </c>
      <c r="C98" s="26">
        <v>20.829999923706055</v>
      </c>
      <c r="D98" s="8">
        <v>-1</v>
      </c>
      <c r="E98" s="7">
        <v>-1.8841244802407453E-2</v>
      </c>
      <c r="F98" s="9">
        <v>10.999978807273344</v>
      </c>
      <c r="G98" s="9">
        <v>1.8888865341414827</v>
      </c>
      <c r="H98" s="8">
        <v>-82.369609060522066</v>
      </c>
      <c r="I98" s="8">
        <v>-46.762659610568512</v>
      </c>
      <c r="J98" s="7">
        <v>-3.8056068968319277E-2</v>
      </c>
      <c r="K98" s="7">
        <v>-6.8336933613258349E-2</v>
      </c>
      <c r="L98" s="7">
        <v>-4.4461876145607877E-2</v>
      </c>
      <c r="M98" s="8">
        <v>9.5255183247598723</v>
      </c>
      <c r="N98" s="8">
        <v>28.824087707817426</v>
      </c>
      <c r="O98" s="8">
        <v>-87.241777018893856</v>
      </c>
      <c r="P98" s="8">
        <v>30.096814615038699</v>
      </c>
      <c r="Q98" s="9">
        <v>0.26334652430374073</v>
      </c>
      <c r="R98" s="9">
        <v>6.1756981899302454E-2</v>
      </c>
      <c r="S98" s="8">
        <v>-77.934029238684488</v>
      </c>
      <c r="T98" s="9">
        <v>0.10814273699196439</v>
      </c>
      <c r="U98" s="8">
        <v>-81.368476863159515</v>
      </c>
      <c r="V98" s="7">
        <v>-0.11580767938136995</v>
      </c>
      <c r="W98" s="7">
        <v>-1.3310888852933332E-3</v>
      </c>
      <c r="X98" s="9">
        <v>0.31786143788320953</v>
      </c>
      <c r="Y98" s="9">
        <v>0.32647306345807453</v>
      </c>
      <c r="Z98" s="8">
        <v>19.464578878838363</v>
      </c>
      <c r="AA98" s="8">
        <v>82.406677171775684</v>
      </c>
      <c r="AB98" s="6">
        <v>0.74714292798723492</v>
      </c>
      <c r="AC98" s="8">
        <v>21.629877473133192</v>
      </c>
      <c r="AD98" s="8">
        <v>0</v>
      </c>
      <c r="AE98" s="8">
        <v>0</v>
      </c>
      <c r="AF98" s="8">
        <v>0</v>
      </c>
      <c r="AG98" s="8">
        <v>0</v>
      </c>
      <c r="AH98" s="8">
        <v>0</v>
      </c>
      <c r="AI98" s="8">
        <v>0</v>
      </c>
    </row>
    <row r="99" spans="1:35" ht="15" x14ac:dyDescent="0.25">
      <c r="A99" s="15" t="str">
        <f>IFERROR(RIGHT(IF(VLOOKUP(B99,Patterns!H:I,2,0)="NO_PATTERN","",VLOOKUP(B99,Patterns!H:I,2,0)),LEN(IF(VLOOKUP(B99,Patterns!H:I,2,0)="NO_PATTERN","",VLOOKUP(B99,Patterns!H:I,2,0)))-3),"")</f>
        <v>CLOSINGMARUBOZU_Bull</v>
      </c>
      <c r="B99" s="3" t="s">
        <v>163</v>
      </c>
      <c r="C99" s="26">
        <v>4.5</v>
      </c>
      <c r="D99" s="8">
        <v>1</v>
      </c>
      <c r="E99" s="7">
        <v>-1.5317323639383873E-2</v>
      </c>
      <c r="F99" s="9"/>
      <c r="G99" s="9"/>
      <c r="H99" s="8">
        <v>-84.706114392217401</v>
      </c>
      <c r="I99" s="8">
        <v>-58.130552619129702</v>
      </c>
      <c r="J99" s="7">
        <v>-0.12033836676730204</v>
      </c>
      <c r="K99" s="7">
        <v>-0.31638738399010791</v>
      </c>
      <c r="L99" s="7">
        <v>-0.51084235514208365</v>
      </c>
      <c r="M99" s="8">
        <v>9.3722956720648511</v>
      </c>
      <c r="N99" s="8">
        <v>27.703831248159901</v>
      </c>
      <c r="O99" s="8">
        <v>-88.593988228733011</v>
      </c>
      <c r="P99" s="8">
        <v>26.527105438905082</v>
      </c>
      <c r="Q99" s="9">
        <v>0.9695598649531616</v>
      </c>
      <c r="R99" s="9">
        <v>1.1558683556251097</v>
      </c>
      <c r="S99" s="8">
        <v>-87.97585107250444</v>
      </c>
      <c r="T99" s="9">
        <v>0.23193434183173586</v>
      </c>
      <c r="U99" s="8">
        <v>81.573510436470073</v>
      </c>
      <c r="V99" s="7">
        <v>-0.31101344518321483</v>
      </c>
      <c r="W99" s="7">
        <v>-3.8542131988958651E-2</v>
      </c>
      <c r="X99" s="9">
        <v>0.69326706225377288</v>
      </c>
      <c r="Y99" s="9">
        <v>0.56258750255608836</v>
      </c>
      <c r="Z99" s="8">
        <v>26.645573530076156</v>
      </c>
      <c r="AA99" s="8">
        <v>6.396134349738368</v>
      </c>
      <c r="AB99" s="6">
        <v>0.31642862728663851</v>
      </c>
      <c r="AC99" s="8">
        <v>69.960702474161209</v>
      </c>
      <c r="AD99" s="8">
        <v>0</v>
      </c>
      <c r="AE99" s="8">
        <v>0</v>
      </c>
      <c r="AF99" s="8">
        <v>0</v>
      </c>
      <c r="AG99" s="8">
        <v>0</v>
      </c>
      <c r="AH99" s="8">
        <v>0</v>
      </c>
      <c r="AI99" s="8">
        <v>0</v>
      </c>
    </row>
    <row r="100" spans="1:35" ht="15" x14ac:dyDescent="0.25">
      <c r="A100" s="15" t="str">
        <f>IFERROR(RIGHT(IF(VLOOKUP(B100,Patterns!H:I,2,0)="NO_PATTERN","",VLOOKUP(B100,Patterns!H:I,2,0)),LEN(IF(VLOOKUP(B100,Patterns!H:I,2,0)="NO_PATTERN","",VLOOKUP(B100,Patterns!H:I,2,0)))-3),"")</f>
        <v>RICKSHAWMAN_Bull</v>
      </c>
      <c r="B100" s="3" t="s">
        <v>165</v>
      </c>
      <c r="C100" s="26">
        <v>15.289999961853027</v>
      </c>
      <c r="D100" s="8">
        <v>1</v>
      </c>
      <c r="E100" s="7">
        <v>-3.4722233929082802E-2</v>
      </c>
      <c r="F100" s="9">
        <v>2.0571413779761416</v>
      </c>
      <c r="G100" s="9">
        <v>0.11428548073307503</v>
      </c>
      <c r="H100" s="8">
        <v>-87.547567832406941</v>
      </c>
      <c r="I100" s="8">
        <v>-38.116357171394291</v>
      </c>
      <c r="J100" s="7">
        <v>-9.8757481127042843E-2</v>
      </c>
      <c r="K100" s="7">
        <v>-0.17620527210739026</v>
      </c>
      <c r="L100" s="7">
        <v>-0.19413823448260323</v>
      </c>
      <c r="M100" s="8">
        <v>9.3560783420232667</v>
      </c>
      <c r="N100" s="8">
        <v>28.329250013471565</v>
      </c>
      <c r="O100" s="8">
        <v>-88.979872917752218</v>
      </c>
      <c r="P100" s="8">
        <v>36.207823124913169</v>
      </c>
      <c r="Q100" s="9">
        <v>0.50064360511637074</v>
      </c>
      <c r="R100" s="9">
        <v>0.73958457260502142</v>
      </c>
      <c r="S100" s="8">
        <v>-87.110156849494771</v>
      </c>
      <c r="T100" s="9">
        <v>0.18981398270104366</v>
      </c>
      <c r="U100" s="8">
        <v>72.156290046163463</v>
      </c>
      <c r="V100" s="7">
        <v>-0.23540893400213489</v>
      </c>
      <c r="W100" s="7">
        <v>-2.1237418174883935E-2</v>
      </c>
      <c r="X100" s="9">
        <v>0.49883193421255251</v>
      </c>
      <c r="Y100" s="9">
        <v>0.39696409471779326</v>
      </c>
      <c r="Z100" s="8">
        <v>21.680178517938998</v>
      </c>
      <c r="AA100" s="8">
        <v>-65.749033938935469</v>
      </c>
      <c r="AB100" s="6">
        <v>0.79357154028756283</v>
      </c>
      <c r="AC100" s="8">
        <v>82.7804926400526</v>
      </c>
      <c r="AD100" s="8">
        <v>0</v>
      </c>
      <c r="AE100" s="8">
        <v>0</v>
      </c>
      <c r="AF100" s="8">
        <v>0</v>
      </c>
      <c r="AG100" s="8">
        <v>0</v>
      </c>
      <c r="AH100" s="8">
        <v>0</v>
      </c>
      <c r="AI100" s="8">
        <v>0</v>
      </c>
    </row>
    <row r="101" spans="1:35" ht="15" x14ac:dyDescent="0.25">
      <c r="A101" s="15" t="str">
        <f>IFERROR(RIGHT(IF(VLOOKUP(B101,Patterns!H:I,2,0)="NO_PATTERN","",VLOOKUP(B101,Patterns!H:I,2,0)),LEN(IF(VLOOKUP(B101,Patterns!H:I,2,0)="NO_PATTERN","",VLOOKUP(B101,Patterns!H:I,2,0)))-3),"")</f>
        <v>HARAMI_Bear</v>
      </c>
      <c r="B101" s="3" t="s">
        <v>181</v>
      </c>
      <c r="C101" s="26">
        <v>17.209999084472656</v>
      </c>
      <c r="D101" s="8">
        <v>-1</v>
      </c>
      <c r="E101" s="7">
        <v>-4.9171341339209529E-2</v>
      </c>
      <c r="F101" s="9">
        <v>1.1076886510088384</v>
      </c>
      <c r="G101" s="9">
        <v>7.6921722595866049E-2</v>
      </c>
      <c r="H101" s="8">
        <v>-86.87527843960099</v>
      </c>
      <c r="I101" s="8">
        <v>33.982444939655096</v>
      </c>
      <c r="J101" s="7">
        <v>-6.8187419446331027E-2</v>
      </c>
      <c r="K101" s="7">
        <v>8.4761854326771777E-3</v>
      </c>
      <c r="L101" s="7">
        <v>9.3281186821379994E-2</v>
      </c>
      <c r="M101" s="8">
        <v>9.2693606444268397</v>
      </c>
      <c r="N101" s="8">
        <v>38.801467813037952</v>
      </c>
      <c r="O101" s="8">
        <v>-88.960355946745878</v>
      </c>
      <c r="P101" s="8">
        <v>57.523710392687484</v>
      </c>
      <c r="Q101" s="9">
        <v>0.36470933816164552</v>
      </c>
      <c r="R101" s="9">
        <v>0.46263859277529273</v>
      </c>
      <c r="S101" s="8">
        <v>-86.513756739184871</v>
      </c>
      <c r="T101" s="9">
        <v>0.1681413339349383</v>
      </c>
      <c r="U101" s="8">
        <v>-80.220548418206903</v>
      </c>
      <c r="V101" s="7">
        <v>-0.14800633100019253</v>
      </c>
      <c r="W101" s="7">
        <v>3.0051540817419373E-2</v>
      </c>
      <c r="X101" s="9">
        <v>0.45144115606324142</v>
      </c>
      <c r="Y101" s="9">
        <v>0.44782425235384521</v>
      </c>
      <c r="Z101" s="8">
        <v>33.338257053856786</v>
      </c>
      <c r="AA101" s="8">
        <v>-76.629669707533822</v>
      </c>
      <c r="AB101" s="6">
        <v>0.875</v>
      </c>
      <c r="AC101" s="8">
        <v>5.7268074282376986</v>
      </c>
      <c r="AD101" s="8">
        <v>0</v>
      </c>
      <c r="AE101" s="8">
        <v>0</v>
      </c>
      <c r="AF101" s="8">
        <v>0</v>
      </c>
      <c r="AG101" s="8">
        <v>0</v>
      </c>
      <c r="AH101" s="8">
        <v>-1</v>
      </c>
      <c r="AI101" s="8">
        <v>1</v>
      </c>
    </row>
    <row r="102" spans="1:35" ht="15" x14ac:dyDescent="0.25">
      <c r="A102" s="15" t="str">
        <f>IFERROR(RIGHT(IF(VLOOKUP(B102,Patterns!H:I,2,0)="NO_PATTERN","",VLOOKUP(B102,Patterns!H:I,2,0)),LEN(IF(VLOOKUP(B102,Patterns!H:I,2,0)="NO_PATTERN","",VLOOKUP(B102,Patterns!H:I,2,0)))-3),"")</f>
        <v>SHOOTINGSTAR_Bear</v>
      </c>
      <c r="B102" s="3" t="s">
        <v>145</v>
      </c>
      <c r="C102" s="26">
        <v>35.060001373291016</v>
      </c>
      <c r="D102" s="8">
        <v>-1</v>
      </c>
      <c r="E102" s="7">
        <v>-2.8270521230565504E-2</v>
      </c>
      <c r="F102" s="9">
        <v>2.1084387739625607</v>
      </c>
      <c r="G102" s="9">
        <v>1.2050795343300594E-2</v>
      </c>
      <c r="H102" s="8">
        <v>-87.088926406858803</v>
      </c>
      <c r="I102" s="8">
        <v>-12.210765261312547</v>
      </c>
      <c r="J102" s="7">
        <v>-7.7056182351597793E-2</v>
      </c>
      <c r="K102" s="7">
        <v>-0.10616935099972996</v>
      </c>
      <c r="L102" s="7">
        <v>-7.3674606600460713E-2</v>
      </c>
      <c r="M102" s="8">
        <v>9.1131745699276792</v>
      </c>
      <c r="N102" s="8">
        <v>30.492253521894924</v>
      </c>
      <c r="O102" s="8">
        <v>-89.033664682204289</v>
      </c>
      <c r="P102" s="8">
        <v>44.81420850651326</v>
      </c>
      <c r="Q102" s="9">
        <v>0.71512487032632732</v>
      </c>
      <c r="R102" s="9">
        <v>1.2014866421847246</v>
      </c>
      <c r="S102" s="8">
        <v>-87.918048387821997</v>
      </c>
      <c r="T102" s="9">
        <v>0.15092865496041691</v>
      </c>
      <c r="U102" s="8">
        <v>78.92592396794825</v>
      </c>
      <c r="V102" s="7">
        <v>-0.18219783456306959</v>
      </c>
      <c r="W102" s="7">
        <v>-1.6290398576072507E-2</v>
      </c>
      <c r="X102" s="9">
        <v>0.38979365630945312</v>
      </c>
      <c r="Y102" s="9">
        <v>0.37515239431840119</v>
      </c>
      <c r="Z102" s="8">
        <v>18.313585902800867</v>
      </c>
      <c r="AA102" s="8">
        <v>79.361575249400943</v>
      </c>
      <c r="AB102" s="6">
        <v>1.7207142966134208</v>
      </c>
      <c r="AC102" s="8">
        <v>81.630353930798066</v>
      </c>
      <c r="AD102" s="8">
        <v>0</v>
      </c>
      <c r="AE102" s="8">
        <v>0</v>
      </c>
      <c r="AF102" s="8">
        <v>0</v>
      </c>
      <c r="AG102" s="8">
        <v>0</v>
      </c>
      <c r="AH102" s="8">
        <v>0</v>
      </c>
      <c r="AI102" s="8">
        <v>0</v>
      </c>
    </row>
    <row r="103" spans="1:35" ht="15" x14ac:dyDescent="0.25">
      <c r="A103" s="15" t="str">
        <f>IFERROR(RIGHT(IF(VLOOKUP(B103,Patterns!H:I,2,0)="NO_PATTERN","",VLOOKUP(B103,Patterns!H:I,2,0)),LEN(IF(VLOOKUP(B103,Patterns!H:I,2,0)="NO_PATTERN","",VLOOKUP(B103,Patterns!H:I,2,0)))-3),"")</f>
        <v>BELTHOLD_Bull</v>
      </c>
      <c r="B103" s="3" t="s">
        <v>173</v>
      </c>
      <c r="C103" s="26">
        <v>26.829999923706055</v>
      </c>
      <c r="D103" s="8">
        <v>1</v>
      </c>
      <c r="E103" s="7">
        <v>-6.296299121998028E-3</v>
      </c>
      <c r="F103" s="9">
        <v>6.7273003129795477</v>
      </c>
      <c r="G103" s="9">
        <v>2.0454643974926956</v>
      </c>
      <c r="H103" s="8">
        <v>-86.50700029886778</v>
      </c>
      <c r="I103" s="8">
        <v>-34.771615489001135</v>
      </c>
      <c r="J103" s="7">
        <v>-5.9727316021160146E-2</v>
      </c>
      <c r="K103" s="7">
        <v>-0.12118035385042249</v>
      </c>
      <c r="L103" s="7">
        <v>-7.3786597141143856E-2</v>
      </c>
      <c r="M103" s="8">
        <v>9.0532865071501192</v>
      </c>
      <c r="N103" s="8">
        <v>29.139878871026909</v>
      </c>
      <c r="O103" s="8">
        <v>-88.584325702802204</v>
      </c>
      <c r="P103" s="8">
        <v>39.195892972189164</v>
      </c>
      <c r="Q103" s="9">
        <v>1.3636813347424281</v>
      </c>
      <c r="R103" s="9">
        <v>1.1824636801046386</v>
      </c>
      <c r="S103" s="8">
        <v>-81.535183593812889</v>
      </c>
      <c r="T103" s="9">
        <v>0.1792750848107468</v>
      </c>
      <c r="U103" s="8">
        <v>66.611483414148154</v>
      </c>
      <c r="V103" s="7">
        <v>-0.18887456768162106</v>
      </c>
      <c r="W103" s="7">
        <v>6.7277134952609483E-3</v>
      </c>
      <c r="X103" s="9">
        <v>0.3866737792261139</v>
      </c>
      <c r="Y103" s="9">
        <v>0.38133415667172565</v>
      </c>
      <c r="Z103" s="8">
        <v>19.935618021855124</v>
      </c>
      <c r="AA103" s="8">
        <v>82.182894843695692</v>
      </c>
      <c r="AB103" s="6">
        <v>1.2528574807303292</v>
      </c>
      <c r="AC103" s="8">
        <v>74.827365191970543</v>
      </c>
      <c r="AD103" s="8">
        <v>0</v>
      </c>
      <c r="AE103" s="8">
        <v>0</v>
      </c>
      <c r="AF103" s="8">
        <v>0</v>
      </c>
      <c r="AG103" s="8">
        <v>0</v>
      </c>
      <c r="AH103" s="8">
        <v>0</v>
      </c>
      <c r="AI103" s="8">
        <v>0</v>
      </c>
    </row>
    <row r="104" spans="1:35" ht="15" x14ac:dyDescent="0.25">
      <c r="A104" s="15" t="str">
        <f>IFERROR(RIGHT(IF(VLOOKUP(B104,Patterns!H:I,2,0)="NO_PATTERN","",VLOOKUP(B104,Patterns!H:I,2,0)),LEN(IF(VLOOKUP(B104,Patterns!H:I,2,0)="NO_PATTERN","",VLOOKUP(B104,Patterns!H:I,2,0)))-3),"")</f>
        <v>HIKKAKE_Bear</v>
      </c>
      <c r="B104" s="3" t="s">
        <v>240</v>
      </c>
      <c r="C104" s="26">
        <v>10.630000114440918</v>
      </c>
      <c r="D104" s="8">
        <v>-1</v>
      </c>
      <c r="E104" s="7">
        <v>-2.3875135049123863E-2</v>
      </c>
      <c r="F104" s="9">
        <v>5.538458716942376</v>
      </c>
      <c r="G104" s="9">
        <v>0.69230825661152473</v>
      </c>
      <c r="H104" s="8">
        <v>-86.388763679175469</v>
      </c>
      <c r="I104" s="8">
        <v>-46.501280808347637</v>
      </c>
      <c r="J104" s="7">
        <v>-8.9540814235001209E-2</v>
      </c>
      <c r="K104" s="7">
        <v>-0.21852854053770515</v>
      </c>
      <c r="L104" s="7">
        <v>-0.1457755318399992</v>
      </c>
      <c r="M104" s="8">
        <v>9.0233971151345571</v>
      </c>
      <c r="N104" s="8">
        <v>32.192891113083192</v>
      </c>
      <c r="O104" s="8">
        <v>-87.716601399591582</v>
      </c>
      <c r="P104" s="8">
        <v>27.837756974762311</v>
      </c>
      <c r="Q104" s="9">
        <v>0.54915373455840322</v>
      </c>
      <c r="R104" s="9">
        <v>0.10050227245259058</v>
      </c>
      <c r="S104" s="8">
        <v>-85.07025571752169</v>
      </c>
      <c r="T104" s="9">
        <v>0.28886018861099932</v>
      </c>
      <c r="U104" s="8">
        <v>74.073304493271351</v>
      </c>
      <c r="V104" s="7">
        <v>-0.29671574415742352</v>
      </c>
      <c r="W104" s="7">
        <v>3.0582145242692406E-2</v>
      </c>
      <c r="X104" s="9">
        <v>0.85823645702992857</v>
      </c>
      <c r="Y104" s="9">
        <v>0.64139543939799704</v>
      </c>
      <c r="Z104" s="8">
        <v>15.110210598202405</v>
      </c>
      <c r="AA104" s="8">
        <v>73.979088863963852</v>
      </c>
      <c r="AB104" s="6">
        <v>0.70714289801461361</v>
      </c>
      <c r="AC104" s="8">
        <v>-82.522104246894529</v>
      </c>
      <c r="AD104" s="8">
        <v>0</v>
      </c>
      <c r="AE104" s="8">
        <v>0</v>
      </c>
      <c r="AF104" s="8">
        <v>0</v>
      </c>
      <c r="AG104" s="8">
        <v>0</v>
      </c>
      <c r="AH104" s="8">
        <v>0</v>
      </c>
      <c r="AI104" s="8">
        <v>0</v>
      </c>
    </row>
    <row r="105" spans="1:35" ht="15" x14ac:dyDescent="0.25">
      <c r="A105" s="15" t="str">
        <f>IFERROR(RIGHT(IF(VLOOKUP(B105,Patterns!H:I,2,0)="NO_PATTERN","",VLOOKUP(B105,Patterns!H:I,2,0)),LEN(IF(VLOOKUP(B105,Patterns!H:I,2,0)="NO_PATTERN","",VLOOKUP(B105,Patterns!H:I,2,0)))-3),"")</f>
        <v/>
      </c>
      <c r="B105" s="3" t="s">
        <v>170</v>
      </c>
      <c r="C105" s="26">
        <v>6.809999942779541</v>
      </c>
      <c r="D105" s="8">
        <v>0</v>
      </c>
      <c r="E105" s="7">
        <v>-1.447176654714688E-2</v>
      </c>
      <c r="F105" s="9"/>
      <c r="G105" s="9"/>
      <c r="H105" s="8">
        <v>-82.620317936247119</v>
      </c>
      <c r="I105" s="8">
        <v>-60.040660454510849</v>
      </c>
      <c r="J105" s="7">
        <v>-7.2168864918838171E-2</v>
      </c>
      <c r="K105" s="7">
        <v>-0.18369257003837766</v>
      </c>
      <c r="L105" s="7">
        <v>-0.37215685753850769</v>
      </c>
      <c r="M105" s="8">
        <v>8.9815876612825321</v>
      </c>
      <c r="N105" s="8">
        <v>30.553736465144212</v>
      </c>
      <c r="O105" s="8">
        <v>-87.533150693564025</v>
      </c>
      <c r="P105" s="8">
        <v>17.468698815234021</v>
      </c>
      <c r="Q105" s="9">
        <v>0.3712274917575451</v>
      </c>
      <c r="R105" s="9">
        <v>0.3502486412916237</v>
      </c>
      <c r="S105" s="8">
        <v>-83.60658941478097</v>
      </c>
      <c r="T105" s="9">
        <v>0.19797668302314542</v>
      </c>
      <c r="U105" s="8">
        <v>62.732023859623119</v>
      </c>
      <c r="V105" s="7">
        <v>-0.22914020491402001</v>
      </c>
      <c r="W105" s="7">
        <v>-7.7173821709049682E-3</v>
      </c>
      <c r="X105" s="9">
        <v>0.52468457369408994</v>
      </c>
      <c r="Y105" s="9">
        <v>0.42289815680593151</v>
      </c>
      <c r="Z105" s="8">
        <v>20.246270530433979</v>
      </c>
      <c r="AA105" s="8">
        <v>84.421209074663849</v>
      </c>
      <c r="AB105" s="6">
        <v>0.40285713332039969</v>
      </c>
      <c r="AC105" s="8">
        <v>57.792655331739851</v>
      </c>
      <c r="AD105" s="8">
        <v>0</v>
      </c>
      <c r="AE105" s="8">
        <v>0</v>
      </c>
      <c r="AF105" s="8">
        <v>0</v>
      </c>
      <c r="AG105" s="8">
        <v>0</v>
      </c>
      <c r="AH105" s="8">
        <v>0</v>
      </c>
      <c r="AI105" s="8">
        <v>0</v>
      </c>
    </row>
    <row r="106" spans="1:35" ht="15" x14ac:dyDescent="0.25">
      <c r="A106" s="15" t="str">
        <f>IFERROR(RIGHT(IF(VLOOKUP(B106,Patterns!H:I,2,0)="NO_PATTERN","",VLOOKUP(B106,Patterns!H:I,2,0)),LEN(IF(VLOOKUP(B106,Patterns!H:I,2,0)="NO_PATTERN","",VLOOKUP(B106,Patterns!H:I,2,0)))-3),"")</f>
        <v/>
      </c>
      <c r="B106" s="3" t="s">
        <v>135</v>
      </c>
      <c r="C106" s="26">
        <v>11.609999656677246</v>
      </c>
      <c r="D106" s="8">
        <v>0</v>
      </c>
      <c r="E106" s="7">
        <v>0</v>
      </c>
      <c r="F106" s="9">
        <v>0.91428906188266512</v>
      </c>
      <c r="G106" s="9">
        <v>1.0857163876937665</v>
      </c>
      <c r="H106" s="8">
        <v>-83.806024116211105</v>
      </c>
      <c r="I106" s="8">
        <v>-73.559816924273875</v>
      </c>
      <c r="J106" s="7">
        <v>-5.1730946327779054E-2</v>
      </c>
      <c r="K106" s="7">
        <v>-0.18248831519612566</v>
      </c>
      <c r="L106" s="7">
        <v>-0.24603317184216536</v>
      </c>
      <c r="M106" s="8">
        <v>8.9391736657359502</v>
      </c>
      <c r="N106" s="8">
        <v>21.267900192430602</v>
      </c>
      <c r="O106" s="8">
        <v>-86.889552200405745</v>
      </c>
      <c r="P106" s="8">
        <v>10.476865112872369</v>
      </c>
      <c r="Q106" s="9">
        <v>0.3594212586922223</v>
      </c>
      <c r="R106" s="9">
        <v>0.49376975665008116</v>
      </c>
      <c r="S106" s="8">
        <v>-86.176879758133438</v>
      </c>
      <c r="T106" s="9">
        <v>0.25946297038432681</v>
      </c>
      <c r="U106" s="8">
        <v>-48.258087367021183</v>
      </c>
      <c r="V106" s="7">
        <v>-0.25635801952052623</v>
      </c>
      <c r="W106" s="7">
        <v>3.2186991292833533E-2</v>
      </c>
      <c r="X106" s="9">
        <v>0.35383376769691816</v>
      </c>
      <c r="Y106" s="9">
        <v>0.3715795301594324</v>
      </c>
      <c r="Z106" s="8">
        <v>39.528949918463958</v>
      </c>
      <c r="AA106" s="8">
        <v>87.111604228808204</v>
      </c>
      <c r="AB106" s="6">
        <v>0.58285726819719585</v>
      </c>
      <c r="AC106" s="8">
        <v>74.053076200470457</v>
      </c>
      <c r="AD106" s="8">
        <v>0</v>
      </c>
      <c r="AE106" s="8">
        <v>0</v>
      </c>
      <c r="AF106" s="8">
        <v>0</v>
      </c>
      <c r="AG106" s="8">
        <v>0</v>
      </c>
      <c r="AH106" s="8">
        <v>0</v>
      </c>
      <c r="AI106" s="8">
        <v>0</v>
      </c>
    </row>
    <row r="107" spans="1:35" ht="15" x14ac:dyDescent="0.25">
      <c r="A107" s="15" t="str">
        <f>IFERROR(RIGHT(IF(VLOOKUP(B107,Patterns!H:I,2,0)="NO_PATTERN","",VLOOKUP(B107,Patterns!H:I,2,0)),LEN(IF(VLOOKUP(B107,Patterns!H:I,2,0)="NO_PATTERN","",VLOOKUP(B107,Patterns!H:I,2,0)))-3),"")</f>
        <v>SPINNINGTOP_Bull</v>
      </c>
      <c r="B107" s="3" t="s">
        <v>92</v>
      </c>
      <c r="C107" s="26">
        <v>12.420000076293945</v>
      </c>
      <c r="D107" s="8">
        <v>1</v>
      </c>
      <c r="E107" s="7">
        <v>8.0582022601083381E-4</v>
      </c>
      <c r="F107" s="9">
        <v>7.0000408719346048</v>
      </c>
      <c r="G107" s="9">
        <v>7.5714577656675752</v>
      </c>
      <c r="H107" s="8">
        <v>-84.820489624796139</v>
      </c>
      <c r="I107" s="8">
        <v>-66.046193448668234</v>
      </c>
      <c r="J107" s="7">
        <v>-8.5669239780061607E-2</v>
      </c>
      <c r="K107" s="7">
        <v>-0.30343409098345159</v>
      </c>
      <c r="L107" s="7">
        <v>-0.56010303607064948</v>
      </c>
      <c r="M107" s="8">
        <v>8.8838374545364758</v>
      </c>
      <c r="N107" s="8">
        <v>27.141320658668391</v>
      </c>
      <c r="O107" s="8">
        <v>-87.782951374830105</v>
      </c>
      <c r="P107" s="8">
        <v>16.391638811307136</v>
      </c>
      <c r="Q107" s="9">
        <v>0.62818760885948111</v>
      </c>
      <c r="R107" s="9">
        <v>0.55336390937808067</v>
      </c>
      <c r="S107" s="8">
        <v>-83.544345779535121</v>
      </c>
      <c r="T107" s="9">
        <v>0.22215914967369182</v>
      </c>
      <c r="U107" s="8">
        <v>-57.350152139329616</v>
      </c>
      <c r="V107" s="7">
        <v>-0.26235457745794177</v>
      </c>
      <c r="W107" s="7">
        <v>-9.9481559323458153E-3</v>
      </c>
      <c r="X107" s="9">
        <v>0.57164675520854613</v>
      </c>
      <c r="Y107" s="9">
        <v>0.41860598691764628</v>
      </c>
      <c r="Z107" s="8">
        <v>46.767351059618122</v>
      </c>
      <c r="AA107" s="8">
        <v>78.328305946356352</v>
      </c>
      <c r="AB107" s="6">
        <v>0.81714296340942383</v>
      </c>
      <c r="AC107" s="8">
        <v>73.080594722992842</v>
      </c>
      <c r="AD107" s="8">
        <v>0</v>
      </c>
      <c r="AE107" s="8">
        <v>0</v>
      </c>
      <c r="AF107" s="8">
        <v>0</v>
      </c>
      <c r="AG107" s="8">
        <v>-1</v>
      </c>
      <c r="AH107" s="8">
        <v>0</v>
      </c>
      <c r="AI107" s="8">
        <v>0</v>
      </c>
    </row>
    <row r="108" spans="1:35" ht="15" x14ac:dyDescent="0.25">
      <c r="A108" s="15" t="str">
        <f>IFERROR(RIGHT(IF(VLOOKUP(B108,Patterns!H:I,2,0)="NO_PATTERN","",VLOOKUP(B108,Patterns!H:I,2,0)),LEN(IF(VLOOKUP(B108,Patterns!H:I,2,0)="NO_PATTERN","",VLOOKUP(B108,Patterns!H:I,2,0)))-3),"")</f>
        <v>BELTHOLD_Bear</v>
      </c>
      <c r="B108" s="3" t="s">
        <v>241</v>
      </c>
      <c r="C108" s="26">
        <v>11.789999961853027</v>
      </c>
      <c r="D108" s="8">
        <v>-1</v>
      </c>
      <c r="E108" s="7">
        <v>-6.0557786241542177E-2</v>
      </c>
      <c r="F108" s="9">
        <v>1.3921563127601566</v>
      </c>
      <c r="G108" s="9">
        <v>0</v>
      </c>
      <c r="H108" s="8">
        <v>-86.604451368515825</v>
      </c>
      <c r="I108" s="8">
        <v>-30.524174876173536</v>
      </c>
      <c r="J108" s="7">
        <v>-0.11982862011139826</v>
      </c>
      <c r="K108" s="7">
        <v>-0.19405904731882939</v>
      </c>
      <c r="L108" s="7">
        <v>-6.5674829630058731E-2</v>
      </c>
      <c r="M108" s="8">
        <v>8.5621094895495986</v>
      </c>
      <c r="N108" s="8">
        <v>27.332507456534898</v>
      </c>
      <c r="O108" s="8">
        <v>-88.350947037368925</v>
      </c>
      <c r="P108" s="8">
        <v>33.59060731587239</v>
      </c>
      <c r="Q108" s="9">
        <v>1.0794660922916259</v>
      </c>
      <c r="R108" s="9">
        <v>1.6839958130356125</v>
      </c>
      <c r="S108" s="8">
        <v>-81.589516615328833</v>
      </c>
      <c r="T108" s="9">
        <v>0.20641496970323539</v>
      </c>
      <c r="U108" s="8">
        <v>85.949654358807308</v>
      </c>
      <c r="V108" s="7">
        <v>-0.27350754533460564</v>
      </c>
      <c r="W108" s="7">
        <v>-3.5228685739630491E-2</v>
      </c>
      <c r="X108" s="9">
        <v>0.54550277907615563</v>
      </c>
      <c r="Y108" s="9">
        <v>0.44367797238412787</v>
      </c>
      <c r="Z108" s="8">
        <v>18.861718831596239</v>
      </c>
      <c r="AA108" s="8">
        <v>4.6342257346759892</v>
      </c>
      <c r="AB108" s="6">
        <v>0.83142845971243717</v>
      </c>
      <c r="AC108" s="8">
        <v>86.306493036394983</v>
      </c>
      <c r="AD108" s="8">
        <v>0</v>
      </c>
      <c r="AE108" s="8">
        <v>0</v>
      </c>
      <c r="AF108" s="8">
        <v>0</v>
      </c>
      <c r="AG108" s="8">
        <v>0</v>
      </c>
      <c r="AH108" s="8">
        <v>0</v>
      </c>
      <c r="AI108" s="8">
        <v>0</v>
      </c>
    </row>
    <row r="109" spans="1:35" ht="15" x14ac:dyDescent="0.25">
      <c r="A109" s="15" t="str">
        <f>IFERROR(RIGHT(IF(VLOOKUP(B109,Patterns!H:I,2,0)="NO_PATTERN","",VLOOKUP(B109,Patterns!H:I,2,0)),LEN(IF(VLOOKUP(B109,Patterns!H:I,2,0)="NO_PATTERN","",VLOOKUP(B109,Patterns!H:I,2,0)))-3),"")</f>
        <v>SHORTLINE_Bull</v>
      </c>
      <c r="B109" s="3" t="s">
        <v>142</v>
      </c>
      <c r="C109" s="26">
        <v>13.369999885559082</v>
      </c>
      <c r="D109" s="8">
        <v>1</v>
      </c>
      <c r="E109" s="7">
        <v>-2.9753255105739118E-2</v>
      </c>
      <c r="F109" s="9">
        <v>1.6521708483122075</v>
      </c>
      <c r="G109" s="9">
        <v>0.17391250264333072</v>
      </c>
      <c r="H109" s="8">
        <v>-87.4432562322324</v>
      </c>
      <c r="I109" s="8">
        <v>48.568859260280931</v>
      </c>
      <c r="J109" s="7">
        <v>-6.9626990019296675E-2</v>
      </c>
      <c r="K109" s="7">
        <v>-2.796185175699057E-2</v>
      </c>
      <c r="L109" s="7">
        <v>7.4413841343903275E-2</v>
      </c>
      <c r="M109" s="8">
        <v>8.4454580446303993</v>
      </c>
      <c r="N109" s="8">
        <v>32.567519161893159</v>
      </c>
      <c r="O109" s="8">
        <v>-89.195995409079529</v>
      </c>
      <c r="P109" s="8">
        <v>56.477557120119805</v>
      </c>
      <c r="Q109" s="9">
        <v>0.10012056613295206</v>
      </c>
      <c r="R109" s="9">
        <v>0.37259357290283157</v>
      </c>
      <c r="S109" s="8">
        <v>-85.041114953689558</v>
      </c>
      <c r="T109" s="9">
        <v>0.14046033183657325</v>
      </c>
      <c r="U109" s="8">
        <v>64.442565114794661</v>
      </c>
      <c r="V109" s="7">
        <v>-0.14723551125940057</v>
      </c>
      <c r="W109" s="7">
        <v>3.3312413306207877E-3</v>
      </c>
      <c r="X109" s="9">
        <v>0.37662280760889144</v>
      </c>
      <c r="Y109" s="9">
        <v>0.30802734286748945</v>
      </c>
      <c r="Z109" s="8">
        <v>31.487140873167739</v>
      </c>
      <c r="AA109" s="8">
        <v>-77.630838983563777</v>
      </c>
      <c r="AB109" s="6">
        <v>0.5664285251072475</v>
      </c>
      <c r="AC109" s="8">
        <v>84.703561316162279</v>
      </c>
      <c r="AD109" s="8">
        <v>0</v>
      </c>
      <c r="AE109" s="8">
        <v>0</v>
      </c>
      <c r="AF109" s="8">
        <v>0</v>
      </c>
      <c r="AG109" s="8">
        <v>0</v>
      </c>
      <c r="AH109" s="8">
        <v>-1</v>
      </c>
      <c r="AI109" s="8">
        <v>1</v>
      </c>
    </row>
    <row r="110" spans="1:35" ht="15" x14ac:dyDescent="0.25">
      <c r="A110" s="15" t="str">
        <f>IFERROR(RIGHT(IF(VLOOKUP(B110,Patterns!H:I,2,0)="NO_PATTERN","",VLOOKUP(B110,Patterns!H:I,2,0)),LEN(IF(VLOOKUP(B110,Patterns!H:I,2,0)="NO_PATTERN","",VLOOKUP(B110,Patterns!H:I,2,0)))-3),"")</f>
        <v/>
      </c>
      <c r="B110" s="3" t="s">
        <v>151</v>
      </c>
      <c r="C110" s="26">
        <v>28.620000839233398</v>
      </c>
      <c r="D110" s="8">
        <v>0</v>
      </c>
      <c r="E110" s="7">
        <v>-3.6363632860700434E-2</v>
      </c>
      <c r="F110" s="9">
        <v>2.9310361837237369</v>
      </c>
      <c r="G110" s="9">
        <v>6.8963816276263037E-2</v>
      </c>
      <c r="H110" s="8">
        <v>-87.015302855002929</v>
      </c>
      <c r="I110" s="8">
        <v>-48.348066390947508</v>
      </c>
      <c r="J110" s="7">
        <v>-9.1394284063703854E-2</v>
      </c>
      <c r="K110" s="7">
        <v>-0.17637756056637627</v>
      </c>
      <c r="L110" s="7">
        <v>-0.27875874199304085</v>
      </c>
      <c r="M110" s="8">
        <v>8.0083519969225989</v>
      </c>
      <c r="N110" s="8">
        <v>29.209938569428729</v>
      </c>
      <c r="O110" s="8">
        <v>-88.892595208713558</v>
      </c>
      <c r="P110" s="8">
        <v>34.099454853931285</v>
      </c>
      <c r="Q110" s="9">
        <v>0.90845890297042886</v>
      </c>
      <c r="R110" s="9">
        <v>1.381148034247627</v>
      </c>
      <c r="S110" s="8">
        <v>-88.415596714635527</v>
      </c>
      <c r="T110" s="9">
        <v>0.16988006766473049</v>
      </c>
      <c r="U110" s="8">
        <v>80.13006000761024</v>
      </c>
      <c r="V110" s="7">
        <v>-0.21007582526098659</v>
      </c>
      <c r="W110" s="7">
        <v>-2.060197724686362E-2</v>
      </c>
      <c r="X110" s="9">
        <v>0.48327270577741432</v>
      </c>
      <c r="Y110" s="9">
        <v>0.41466917359147898</v>
      </c>
      <c r="Z110" s="8">
        <v>26.995399997943288</v>
      </c>
      <c r="AA110" s="8">
        <v>-83.74893155261698</v>
      </c>
      <c r="AB110" s="6">
        <v>1.5821429661342077</v>
      </c>
      <c r="AC110" s="8">
        <v>81.12966207256089</v>
      </c>
      <c r="AD110" s="8">
        <v>0</v>
      </c>
      <c r="AE110" s="8">
        <v>0</v>
      </c>
      <c r="AF110" s="8">
        <v>0</v>
      </c>
      <c r="AG110" s="8">
        <v>0</v>
      </c>
      <c r="AH110" s="8">
        <v>0</v>
      </c>
      <c r="AI110" s="8">
        <v>0</v>
      </c>
    </row>
    <row r="111" spans="1:35" ht="15" x14ac:dyDescent="0.25">
      <c r="A111" s="15" t="str">
        <f>IFERROR(RIGHT(IF(VLOOKUP(B111,Patterns!H:I,2,0)="NO_PATTERN","",VLOOKUP(B111,Patterns!H:I,2,0)),LEN(IF(VLOOKUP(B111,Patterns!H:I,2,0)="NO_PATTERN","",VLOOKUP(B111,Patterns!H:I,2,0)))-3),"")</f>
        <v>CLOSINGMARUBOZU_Bull</v>
      </c>
      <c r="B111" s="3" t="s">
        <v>223</v>
      </c>
      <c r="C111" s="26">
        <v>5.3000001907348633</v>
      </c>
      <c r="D111" s="8">
        <v>1</v>
      </c>
      <c r="E111" s="7">
        <v>-2.5735269303862496E-2</v>
      </c>
      <c r="F111" s="9">
        <v>1.8666728125834466</v>
      </c>
      <c r="G111" s="9">
        <v>0</v>
      </c>
      <c r="H111" s="8">
        <v>-79.952902841853927</v>
      </c>
      <c r="I111" s="8">
        <v>-23.602921827197139</v>
      </c>
      <c r="J111" s="7">
        <v>-9.7022720627712569E-2</v>
      </c>
      <c r="K111" s="7">
        <v>-0.2314085537330578</v>
      </c>
      <c r="L111" s="7">
        <v>-0.58426966859213758</v>
      </c>
      <c r="M111" s="8">
        <v>7.9674099890490453</v>
      </c>
      <c r="N111" s="8">
        <v>29.657482444387057</v>
      </c>
      <c r="O111" s="8">
        <v>-88.389509718778996</v>
      </c>
      <c r="P111" s="8">
        <v>36.411284833382581</v>
      </c>
      <c r="Q111" s="9">
        <v>0.39993061501668192</v>
      </c>
      <c r="R111" s="9">
        <v>0.42586490381687647</v>
      </c>
      <c r="S111" s="8">
        <v>-80.520628038183617</v>
      </c>
      <c r="T111" s="9">
        <v>0.20768714700890326</v>
      </c>
      <c r="U111" s="8">
        <v>59.364738405455419</v>
      </c>
      <c r="V111" s="7">
        <v>-0.24932178341795014</v>
      </c>
      <c r="W111" s="7">
        <v>-1.4263045819472258E-2</v>
      </c>
      <c r="X111" s="9">
        <v>0.63218314138282816</v>
      </c>
      <c r="Y111" s="9">
        <v>0.51201295943521652</v>
      </c>
      <c r="Z111" s="8">
        <v>22.161894183518402</v>
      </c>
      <c r="AA111" s="8">
        <v>68.113495567005799</v>
      </c>
      <c r="AB111" s="6">
        <v>0.34571426255362375</v>
      </c>
      <c r="AC111" s="8">
        <v>43.152686865734289</v>
      </c>
      <c r="AD111" s="8">
        <v>0</v>
      </c>
      <c r="AE111" s="8">
        <v>0</v>
      </c>
      <c r="AF111" s="8">
        <v>0</v>
      </c>
      <c r="AG111" s="8">
        <v>0</v>
      </c>
      <c r="AH111" s="8">
        <v>0</v>
      </c>
      <c r="AI111" s="8">
        <v>0</v>
      </c>
    </row>
    <row r="112" spans="1:35" ht="15" hidden="1" x14ac:dyDescent="0.25">
      <c r="A112" s="15" t="str">
        <f>IFERROR(RIGHT(IF(VLOOKUP(B112,Patterns!H:I,2,0)="NO_PATTERN","",VLOOKUP(B112,Patterns!H:I,2,0)),LEN(IF(VLOOKUP(B112,Patterns!H:I,2,0)="NO_PATTERN","",VLOOKUP(B112,Patterns!H:I,2,0)))-3),"")</f>
        <v>HIGHWAVE_Bear</v>
      </c>
      <c r="B112" s="3" t="s">
        <v>205</v>
      </c>
      <c r="C112" s="26">
        <v>2.619999885559082</v>
      </c>
      <c r="D112" s="8">
        <v>-1</v>
      </c>
      <c r="E112" s="7">
        <v>-3.6764758087977634E-2</v>
      </c>
      <c r="F112" s="9">
        <v>2.1428498443471096</v>
      </c>
      <c r="G112" s="9">
        <v>0.57142662515922915</v>
      </c>
      <c r="H112" s="8">
        <v>-78.878886833103934</v>
      </c>
      <c r="I112" s="8">
        <v>-4.2993597934641112</v>
      </c>
      <c r="J112" s="7">
        <v>-9.4177763150560131E-2</v>
      </c>
      <c r="K112" s="7">
        <v>-0.187422429483631</v>
      </c>
      <c r="L112" s="7">
        <v>-0.52586379253235482</v>
      </c>
      <c r="M112" s="8">
        <v>7.818966307612996</v>
      </c>
      <c r="N112" s="8">
        <v>32.241415176798995</v>
      </c>
      <c r="O112" s="8">
        <v>-88.465891748609039</v>
      </c>
      <c r="P112" s="8">
        <v>35.967075706636578</v>
      </c>
      <c r="Q112" s="9">
        <v>0.76766427017167493</v>
      </c>
      <c r="R112" s="9">
        <v>0.97935791655403759</v>
      </c>
      <c r="S112" s="8">
        <v>-77.94089729269291</v>
      </c>
      <c r="T112" s="9">
        <v>0.21451893322988352</v>
      </c>
      <c r="U112" s="8">
        <v>61.675815686627544</v>
      </c>
      <c r="V112" s="7">
        <v>-0.22305688652182593</v>
      </c>
      <c r="W112" s="7">
        <v>1.389648031478892E-2</v>
      </c>
      <c r="X112" s="9">
        <v>0.64700328821887987</v>
      </c>
      <c r="Y112" s="9">
        <v>0.4836427717106383</v>
      </c>
      <c r="Z112" s="8">
        <v>18.301303508000807</v>
      </c>
      <c r="AA112" s="8">
        <v>-79.035318895047638</v>
      </c>
      <c r="AB112" s="6">
        <v>0.16285714081355504</v>
      </c>
      <c r="AC112" s="8">
        <v>52.266743774199995</v>
      </c>
      <c r="AD112" s="8">
        <v>0</v>
      </c>
      <c r="AE112" s="8">
        <v>0</v>
      </c>
      <c r="AF112" s="8">
        <v>0</v>
      </c>
      <c r="AG112" s="8">
        <v>-1</v>
      </c>
      <c r="AH112" s="8">
        <v>0</v>
      </c>
      <c r="AI112" s="8">
        <v>0</v>
      </c>
    </row>
    <row r="113" spans="1:35" ht="15" x14ac:dyDescent="0.25">
      <c r="A113" s="15" t="str">
        <f>IFERROR(RIGHT(IF(VLOOKUP(B113,Patterns!H:I,2,0)="NO_PATTERN","",VLOOKUP(B113,Patterns!H:I,2,0)),LEN(IF(VLOOKUP(B113,Patterns!H:I,2,0)="NO_PATTERN","",VLOOKUP(B113,Patterns!H:I,2,0)))-3),"")</f>
        <v>HIKKAKE_Bull</v>
      </c>
      <c r="B113" s="3" t="s">
        <v>231</v>
      </c>
      <c r="C113" s="26">
        <v>5.0999999046325684</v>
      </c>
      <c r="D113" s="8">
        <v>1</v>
      </c>
      <c r="E113" s="7">
        <v>-8.9285715806241006E-2</v>
      </c>
      <c r="F113" s="9">
        <v>0.23404270429416982</v>
      </c>
      <c r="G113" s="9">
        <v>0</v>
      </c>
      <c r="H113" s="8">
        <v>-85.271308039811288</v>
      </c>
      <c r="I113" s="8">
        <v>-51.073385162059068</v>
      </c>
      <c r="J113" s="7">
        <v>-0.11599527139685088</v>
      </c>
      <c r="K113" s="7">
        <v>-0.2911806210640081</v>
      </c>
      <c r="L113" s="7">
        <v>-0.39092088380207896</v>
      </c>
      <c r="M113" s="8">
        <v>7.6906169787584417</v>
      </c>
      <c r="N113" s="8">
        <v>27.241096777396251</v>
      </c>
      <c r="O113" s="8">
        <v>-87.915137513826053</v>
      </c>
      <c r="P113" s="8">
        <v>30.550722736956374</v>
      </c>
      <c r="Q113" s="9">
        <v>2.9173536145389591</v>
      </c>
      <c r="R113" s="9">
        <v>2.8690247421511241</v>
      </c>
      <c r="S113" s="8">
        <v>-85.608301889184716</v>
      </c>
      <c r="T113" s="9">
        <v>0.29893219448045077</v>
      </c>
      <c r="U113" s="8">
        <v>-31.381987542775921</v>
      </c>
      <c r="V113" s="7">
        <v>-0.3547923191481725</v>
      </c>
      <c r="W113" s="7">
        <v>-2.4626227782029949E-3</v>
      </c>
      <c r="X113" s="9">
        <v>0.61785628861624264</v>
      </c>
      <c r="Y113" s="9">
        <v>0.52670145517913014</v>
      </c>
      <c r="Z113" s="8">
        <v>30.045364544336838</v>
      </c>
      <c r="AA113" s="8">
        <v>77.431177999514773</v>
      </c>
      <c r="AB113" s="6">
        <v>0.34999997275216238</v>
      </c>
      <c r="AC113" s="8">
        <v>63.746433251619081</v>
      </c>
      <c r="AD113" s="8">
        <v>0</v>
      </c>
      <c r="AE113" s="8">
        <v>0</v>
      </c>
      <c r="AF113" s="8">
        <v>0</v>
      </c>
      <c r="AG113" s="8">
        <v>-1</v>
      </c>
      <c r="AH113" s="8">
        <v>0</v>
      </c>
      <c r="AI113" s="8">
        <v>0</v>
      </c>
    </row>
    <row r="114" spans="1:35" ht="15" x14ac:dyDescent="0.25">
      <c r="A114" s="15" t="str">
        <f>IFERROR(RIGHT(IF(VLOOKUP(B114,Patterns!H:I,2,0)="NO_PATTERN","",VLOOKUP(B114,Patterns!H:I,2,0)),LEN(IF(VLOOKUP(B114,Patterns!H:I,2,0)="NO_PATTERN","",VLOOKUP(B114,Patterns!H:I,2,0)))-3),"")</f>
        <v>3WHITESOLDIERS_Bull</v>
      </c>
      <c r="B114" s="3" t="s">
        <v>86</v>
      </c>
      <c r="C114" s="6">
        <v>106296</v>
      </c>
      <c r="D114" s="8">
        <v>1</v>
      </c>
      <c r="E114" s="7">
        <v>-1.3356847821042406E-2</v>
      </c>
      <c r="F114" s="9">
        <v>2.4273624823695346</v>
      </c>
      <c r="G114" s="9">
        <v>2.4682651622002821E-2</v>
      </c>
      <c r="H114" s="8">
        <v>-85.512956953667413</v>
      </c>
      <c r="I114" s="8">
        <v>-43.672278188009322</v>
      </c>
      <c r="J114" s="7">
        <v>-3.7898591546535021E-2</v>
      </c>
      <c r="K114" s="7">
        <v>-7.7562779994289469E-2</v>
      </c>
      <c r="L114" s="7">
        <v>-9.7693614375020596E-2</v>
      </c>
      <c r="M114" s="8">
        <v>7.6247790147202323</v>
      </c>
      <c r="N114" s="8">
        <v>29.357822185589427</v>
      </c>
      <c r="O114" s="8">
        <v>-88.650011840578543</v>
      </c>
      <c r="P114" s="8">
        <v>39.41778216316191</v>
      </c>
      <c r="Q114" s="9">
        <v>0.62970196907788023</v>
      </c>
      <c r="R114" s="9">
        <v>0.73318157066176437</v>
      </c>
      <c r="S114" s="8">
        <v>-84.767989862304361</v>
      </c>
      <c r="T114" s="7">
        <v>7.6168257160642211E-2</v>
      </c>
      <c r="U114" s="6">
        <v>67.946317005189684</v>
      </c>
      <c r="V114" s="7">
        <v>-8.9000018291753039E-2</v>
      </c>
      <c r="W114" s="7">
        <v>-9.0958649023465694E-3</v>
      </c>
      <c r="X114" s="9">
        <v>0.24623303221088846</v>
      </c>
      <c r="Y114" s="9">
        <v>0.21325698436848814</v>
      </c>
      <c r="Z114" s="8">
        <v>35.793318005601428</v>
      </c>
      <c r="AA114" s="8">
        <v>75.683468341509453</v>
      </c>
      <c r="AB114" s="6">
        <v>2647.9285714285716</v>
      </c>
      <c r="AC114" s="8">
        <v>82.072392690273546</v>
      </c>
      <c r="AD114" s="8">
        <v>0</v>
      </c>
      <c r="AE114" s="8">
        <v>0</v>
      </c>
      <c r="AF114" s="8">
        <v>0</v>
      </c>
      <c r="AG114" s="8">
        <v>0</v>
      </c>
      <c r="AH114" s="8">
        <v>0</v>
      </c>
      <c r="AI114" s="8">
        <v>0</v>
      </c>
    </row>
    <row r="115" spans="1:35" ht="15" x14ac:dyDescent="0.25">
      <c r="A115" s="15" t="str">
        <f>IFERROR(RIGHT(IF(VLOOKUP(B115,Patterns!H:I,2,0)="NO_PATTERN","",VLOOKUP(B115,Patterns!H:I,2,0)),LEN(IF(VLOOKUP(B115,Patterns!H:I,2,0)="NO_PATTERN","",VLOOKUP(B115,Patterns!H:I,2,0)))-3),"")</f>
        <v/>
      </c>
      <c r="B115" s="3" t="s">
        <v>187</v>
      </c>
      <c r="C115" s="26">
        <v>11.859999656677246</v>
      </c>
      <c r="D115" s="8">
        <v>0</v>
      </c>
      <c r="E115" s="7">
        <v>-3.4987819895074046E-2</v>
      </c>
      <c r="F115" s="9">
        <v>1.9032206460980929</v>
      </c>
      <c r="G115" s="9">
        <v>3.2258759179102869E-2</v>
      </c>
      <c r="H115" s="8">
        <v>-85.491670914241041</v>
      </c>
      <c r="I115" s="8">
        <v>-57.42611399722329</v>
      </c>
      <c r="J115" s="7">
        <v>-0.10082069503816912</v>
      </c>
      <c r="K115" s="7">
        <v>-0.2377881995702319</v>
      </c>
      <c r="L115" s="7">
        <v>-0.37930319109839439</v>
      </c>
      <c r="M115" s="8">
        <v>7.5055467638414513</v>
      </c>
      <c r="N115" s="8">
        <v>26.934602004989827</v>
      </c>
      <c r="O115" s="8">
        <v>-88.560021421089417</v>
      </c>
      <c r="P115" s="8">
        <v>32.151583388496313</v>
      </c>
      <c r="Q115" s="9">
        <v>0.75831303575513731</v>
      </c>
      <c r="R115" s="9">
        <v>0.76862212422261877</v>
      </c>
      <c r="S115" s="8">
        <v>-86.278640246129584</v>
      </c>
      <c r="T115" s="9">
        <v>0.19440164000267579</v>
      </c>
      <c r="U115" s="8">
        <v>80.095406016728248</v>
      </c>
      <c r="V115" s="7">
        <v>-0.25519565292450835</v>
      </c>
      <c r="W115" s="7">
        <v>-3.2800546208805834E-2</v>
      </c>
      <c r="X115" s="9">
        <v>0.5225214799628578</v>
      </c>
      <c r="Y115" s="9">
        <v>0.46820534687202398</v>
      </c>
      <c r="Z115" s="8">
        <v>28.741101432995325</v>
      </c>
      <c r="AA115" s="8">
        <v>78.907836260063306</v>
      </c>
      <c r="AB115" s="6">
        <v>0.68428564071655273</v>
      </c>
      <c r="AC115" s="8">
        <v>73.872868498737361</v>
      </c>
      <c r="AD115" s="8">
        <v>0</v>
      </c>
      <c r="AE115" s="8">
        <v>0</v>
      </c>
      <c r="AF115" s="8">
        <v>0</v>
      </c>
      <c r="AG115" s="8">
        <v>0</v>
      </c>
      <c r="AH115" s="8">
        <v>0</v>
      </c>
      <c r="AI115" s="8">
        <v>0</v>
      </c>
    </row>
    <row r="116" spans="1:35" ht="15" x14ac:dyDescent="0.25">
      <c r="A116" s="15" t="str">
        <f>IFERROR(RIGHT(IF(VLOOKUP(B116,Patterns!H:I,2,0)="NO_PATTERN","",VLOOKUP(B116,Patterns!H:I,2,0)),LEN(IF(VLOOKUP(B116,Patterns!H:I,2,0)="NO_PATTERN","",VLOOKUP(B116,Patterns!H:I,2,0)))-3),"")</f>
        <v>SPINNINGTOP_Bull</v>
      </c>
      <c r="B116" s="3" t="s">
        <v>162</v>
      </c>
      <c r="C116" s="26">
        <v>2.2899999618530273</v>
      </c>
      <c r="D116" s="8">
        <v>1</v>
      </c>
      <c r="E116" s="7">
        <v>-2.1367501773620345E-2</v>
      </c>
      <c r="F116" s="9">
        <v>1.6</v>
      </c>
      <c r="G116" s="9">
        <v>1.4000047683761294</v>
      </c>
      <c r="H116" s="8">
        <v>-81.505652710130335</v>
      </c>
      <c r="I116" s="8">
        <v>-38.985586300245814</v>
      </c>
      <c r="J116" s="7">
        <v>-0.10130321555788366</v>
      </c>
      <c r="K116" s="7">
        <v>-0.28820969652721584</v>
      </c>
      <c r="L116" s="7">
        <v>-0.70827403526284638</v>
      </c>
      <c r="M116" s="8">
        <v>7.4931252374114479</v>
      </c>
      <c r="N116" s="8">
        <v>26.498860046075009</v>
      </c>
      <c r="O116" s="8">
        <v>-88.425326365452733</v>
      </c>
      <c r="P116" s="8">
        <v>22.954815301843126</v>
      </c>
      <c r="Q116" s="9">
        <v>0.28695109625187287</v>
      </c>
      <c r="R116" s="9">
        <v>0.6874236559225142</v>
      </c>
      <c r="S116" s="8">
        <v>-87.894533233246904</v>
      </c>
      <c r="T116" s="9">
        <v>0.23359413283921854</v>
      </c>
      <c r="U116" s="8">
        <v>-3.3353825079073327</v>
      </c>
      <c r="V116" s="7">
        <v>-0.28407280771139493</v>
      </c>
      <c r="W116" s="7">
        <v>-1.5490553120242261E-2</v>
      </c>
      <c r="X116" s="9">
        <v>0.57934158449811302</v>
      </c>
      <c r="Y116" s="9">
        <v>0.5065079773527299</v>
      </c>
      <c r="Z116" s="8">
        <v>25.443128663619412</v>
      </c>
      <c r="AA116" s="8">
        <v>78.931031400298835</v>
      </c>
      <c r="AB116" s="6">
        <v>0.17785714353833879</v>
      </c>
      <c r="AC116" s="8">
        <v>66.30164163400103</v>
      </c>
      <c r="AD116" s="8">
        <v>0</v>
      </c>
      <c r="AE116" s="8">
        <v>0</v>
      </c>
      <c r="AF116" s="8">
        <v>0</v>
      </c>
      <c r="AG116" s="8">
        <v>0</v>
      </c>
      <c r="AH116" s="8">
        <v>0</v>
      </c>
      <c r="AI116" s="8">
        <v>0</v>
      </c>
    </row>
    <row r="117" spans="1:35" ht="15" x14ac:dyDescent="0.25">
      <c r="A117" s="15" t="str">
        <f>IFERROR(RIGHT(IF(VLOOKUP(B117,Patterns!H:I,2,0)="NO_PATTERN","",VLOOKUP(B117,Patterns!H:I,2,0)),LEN(IF(VLOOKUP(B117,Patterns!H:I,2,0)="NO_PATTERN","",VLOOKUP(B117,Patterns!H:I,2,0)))-3),"")</f>
        <v>LONGLINE_Bear</v>
      </c>
      <c r="B117" s="3" t="s">
        <v>161</v>
      </c>
      <c r="C117" s="26">
        <v>43.650001525878906</v>
      </c>
      <c r="D117" s="8">
        <v>-1</v>
      </c>
      <c r="E117" s="7">
        <v>-1.7113225042658775E-2</v>
      </c>
      <c r="F117" s="9">
        <v>7.5000953685561198</v>
      </c>
      <c r="G117" s="9">
        <v>2.636403044857901</v>
      </c>
      <c r="H117" s="8">
        <v>-83.436295233542495</v>
      </c>
      <c r="I117" s="8">
        <v>-74.211398476930029</v>
      </c>
      <c r="J117" s="7">
        <v>-5.7750614370239234E-2</v>
      </c>
      <c r="K117" s="7">
        <v>-0.18659376949037484</v>
      </c>
      <c r="L117" s="7">
        <v>-9.5420870663129667E-2</v>
      </c>
      <c r="M117" s="8">
        <v>7.22930834137955</v>
      </c>
      <c r="N117" s="8">
        <v>18.267189773031305</v>
      </c>
      <c r="O117" s="8">
        <v>-85.336750528050359</v>
      </c>
      <c r="P117" s="8">
        <v>8.1523720030623199</v>
      </c>
      <c r="Q117" s="9">
        <v>0.78444128652073597</v>
      </c>
      <c r="R117" s="9">
        <v>0.69604056460336872</v>
      </c>
      <c r="S117" s="8">
        <v>-86.372627296073929</v>
      </c>
      <c r="T117" s="9">
        <v>0.30454967530508253</v>
      </c>
      <c r="U117" s="8">
        <v>-68.450015708185447</v>
      </c>
      <c r="V117" s="7">
        <v>-0.29747726348967396</v>
      </c>
      <c r="W117" s="7">
        <v>4.5449845911165201E-2</v>
      </c>
      <c r="X117" s="9">
        <v>0.32041001425692689</v>
      </c>
      <c r="Y117" s="9">
        <v>0.38828242775512117</v>
      </c>
      <c r="Z117" s="8">
        <v>43.809360857621073</v>
      </c>
      <c r="AA117" s="8">
        <v>87.926497781177829</v>
      </c>
      <c r="AB117" s="6">
        <v>1.9699995858328683</v>
      </c>
      <c r="AC117" s="8">
        <v>-46.870576012118939</v>
      </c>
      <c r="AD117" s="8">
        <v>0</v>
      </c>
      <c r="AE117" s="8">
        <v>0</v>
      </c>
      <c r="AF117" s="8">
        <v>0</v>
      </c>
      <c r="AG117" s="8">
        <v>0</v>
      </c>
      <c r="AH117" s="8">
        <v>0</v>
      </c>
      <c r="AI117" s="8">
        <v>0</v>
      </c>
    </row>
    <row r="118" spans="1:35" ht="15" x14ac:dyDescent="0.25">
      <c r="A118" s="15" t="str">
        <f>IFERROR(RIGHT(IF(VLOOKUP(B118,Patterns!H:I,2,0)="NO_PATTERN","",VLOOKUP(B118,Patterns!H:I,2,0)),LEN(IF(VLOOKUP(B118,Patterns!H:I,2,0)="NO_PATTERN","",VLOOKUP(B118,Patterns!H:I,2,0)))-3),"")</f>
        <v>BELTHOLD_Bull</v>
      </c>
      <c r="B118" s="3" t="s">
        <v>167</v>
      </c>
      <c r="C118" s="26">
        <v>19.879999160766602</v>
      </c>
      <c r="D118" s="8">
        <v>1</v>
      </c>
      <c r="E118" s="7">
        <v>-3.2603411249069292E-2</v>
      </c>
      <c r="F118" s="9">
        <v>2.3636312405987332</v>
      </c>
      <c r="G118" s="9">
        <v>6.8183295981134609E-2</v>
      </c>
      <c r="H118" s="8">
        <v>-84.568931967519987</v>
      </c>
      <c r="I118" s="8">
        <v>-47.658742802500306</v>
      </c>
      <c r="J118" s="7">
        <v>-8.9475032965740872E-2</v>
      </c>
      <c r="K118" s="7">
        <v>-0.19538319103462809</v>
      </c>
      <c r="L118" s="7">
        <v>-0.33565778604483293</v>
      </c>
      <c r="M118" s="8">
        <v>7.1643309626438878</v>
      </c>
      <c r="N118" s="8">
        <v>25.687997123645687</v>
      </c>
      <c r="O118" s="8">
        <v>-88.725447747849387</v>
      </c>
      <c r="P118" s="8">
        <v>34.904946769287527</v>
      </c>
      <c r="Q118" s="9">
        <v>1.2639531898007297</v>
      </c>
      <c r="R118" s="9">
        <v>1.2978971422885146</v>
      </c>
      <c r="S118" s="8">
        <v>-86.880588890149028</v>
      </c>
      <c r="T118" s="9">
        <v>0.1644136961014189</v>
      </c>
      <c r="U118" s="8">
        <v>79.806901976285502</v>
      </c>
      <c r="V118" s="7">
        <v>-0.21685672950780574</v>
      </c>
      <c r="W118" s="7">
        <v>-3.198642224202855E-2</v>
      </c>
      <c r="X118" s="9">
        <v>0.42647097629278269</v>
      </c>
      <c r="Y118" s="9">
        <v>0.39847334440703497</v>
      </c>
      <c r="Z118" s="8">
        <v>27.619316249930449</v>
      </c>
      <c r="AA118" s="8">
        <v>70.482097945098602</v>
      </c>
      <c r="AB118" s="6">
        <v>0.97642844063895085</v>
      </c>
      <c r="AC118" s="8">
        <v>75.306130903883314</v>
      </c>
      <c r="AD118" s="8">
        <v>0</v>
      </c>
      <c r="AE118" s="8">
        <v>0</v>
      </c>
      <c r="AF118" s="8">
        <v>0</v>
      </c>
      <c r="AG118" s="8">
        <v>0</v>
      </c>
      <c r="AH118" s="8">
        <v>0</v>
      </c>
      <c r="AI118" s="8">
        <v>0</v>
      </c>
    </row>
    <row r="119" spans="1:35" ht="15" x14ac:dyDescent="0.25">
      <c r="A119" s="15" t="str">
        <f>IFERROR(RIGHT(IF(VLOOKUP(B119,Patterns!H:I,2,0)="NO_PATTERN","",VLOOKUP(B119,Patterns!H:I,2,0)),LEN(IF(VLOOKUP(B119,Patterns!H:I,2,0)="NO_PATTERN","",VLOOKUP(B119,Patterns!H:I,2,0)))-3),"")</f>
        <v>SHOOTINGSTAR_Bear</v>
      </c>
      <c r="B119" s="3" t="s">
        <v>208</v>
      </c>
      <c r="C119" s="26">
        <v>41.549999237060547</v>
      </c>
      <c r="D119" s="8">
        <v>-1</v>
      </c>
      <c r="E119" s="7">
        <v>-3.4170181428667123E-2</v>
      </c>
      <c r="F119" s="9">
        <v>4</v>
      </c>
      <c r="G119" s="9">
        <v>0.8536644367736953</v>
      </c>
      <c r="H119" s="8">
        <v>-87.041476385246938</v>
      </c>
      <c r="I119" s="8">
        <v>-32.764286330900127</v>
      </c>
      <c r="J119" s="7">
        <v>-5.6357380971229214E-2</v>
      </c>
      <c r="K119" s="7">
        <v>-5.8208185182916553E-2</v>
      </c>
      <c r="L119" s="7">
        <v>-6.6355516574192641E-2</v>
      </c>
      <c r="M119" s="8">
        <v>7.0328595321615097</v>
      </c>
      <c r="N119" s="8">
        <v>31.094821009833225</v>
      </c>
      <c r="O119" s="8">
        <v>-88.886227751830745</v>
      </c>
      <c r="P119" s="8">
        <v>45.836661260507732</v>
      </c>
      <c r="Q119" s="9">
        <v>1.0542645157732862</v>
      </c>
      <c r="R119" s="9">
        <v>1.1796491967096103</v>
      </c>
      <c r="S119" s="8">
        <v>-86.346061816616739</v>
      </c>
      <c r="T119" s="9">
        <v>0.11579180602964619</v>
      </c>
      <c r="U119" s="8">
        <v>54.67298707146017</v>
      </c>
      <c r="V119" s="7">
        <v>-0.12288459881651756</v>
      </c>
      <c r="W119" s="7">
        <v>2.0533237876492644E-5</v>
      </c>
      <c r="X119" s="9">
        <v>0.30446725509538652</v>
      </c>
      <c r="Y119" s="9">
        <v>0.28938622267699937</v>
      </c>
      <c r="Z119" s="8">
        <v>18.488487110526609</v>
      </c>
      <c r="AA119" s="8">
        <v>82.465788489620692</v>
      </c>
      <c r="AB119" s="6">
        <v>1.5471423012869698</v>
      </c>
      <c r="AC119" s="8">
        <v>78.957122956487325</v>
      </c>
      <c r="AD119" s="8">
        <v>0</v>
      </c>
      <c r="AE119" s="8">
        <v>0</v>
      </c>
      <c r="AF119" s="8">
        <v>0</v>
      </c>
      <c r="AG119" s="8">
        <v>0</v>
      </c>
      <c r="AH119" s="8">
        <v>0</v>
      </c>
      <c r="AI119" s="8">
        <v>0</v>
      </c>
    </row>
    <row r="120" spans="1:35" ht="15" x14ac:dyDescent="0.25">
      <c r="A120" s="15" t="str">
        <f>IFERROR(RIGHT(IF(VLOOKUP(B120,Patterns!H:I,2,0)="NO_PATTERN","",VLOOKUP(B120,Patterns!H:I,2,0)),LEN(IF(VLOOKUP(B120,Patterns!H:I,2,0)="NO_PATTERN","",VLOOKUP(B120,Patterns!H:I,2,0)))-3),"")</f>
        <v/>
      </c>
      <c r="B120" s="3" t="s">
        <v>236</v>
      </c>
      <c r="C120" s="26">
        <v>10.329999923706055</v>
      </c>
      <c r="D120" s="8">
        <v>0</v>
      </c>
      <c r="E120" s="7">
        <v>-2.9135376843408056E-2</v>
      </c>
      <c r="F120" s="9">
        <v>3.5714198132165311</v>
      </c>
      <c r="G120" s="9">
        <v>1.1428532503184583</v>
      </c>
      <c r="H120" s="8">
        <v>-82.965000784203824</v>
      </c>
      <c r="I120" s="8">
        <v>-9.3478426816124358</v>
      </c>
      <c r="J120" s="7">
        <v>-7.0243105515522666E-2</v>
      </c>
      <c r="K120" s="7">
        <v>-0.19078324857105744</v>
      </c>
      <c r="L120" s="7">
        <v>-0.12669869013317039</v>
      </c>
      <c r="M120" s="8">
        <v>6.6210969640258526</v>
      </c>
      <c r="N120" s="8">
        <v>29.686815818974253</v>
      </c>
      <c r="O120" s="8">
        <v>-87.967902652811716</v>
      </c>
      <c r="P120" s="8">
        <v>37.322138048815887</v>
      </c>
      <c r="Q120" s="9">
        <v>0.31873086557194541</v>
      </c>
      <c r="R120" s="9">
        <v>0.16159684631678051</v>
      </c>
      <c r="S120" s="8">
        <v>-73.043970507754352</v>
      </c>
      <c r="T120" s="9">
        <v>0.17212450379809399</v>
      </c>
      <c r="U120" s="8">
        <v>-54.539715658458633</v>
      </c>
      <c r="V120" s="7">
        <v>-0.18063274035323904</v>
      </c>
      <c r="W120" s="7">
        <v>6.4797610211064843E-3</v>
      </c>
      <c r="X120" s="9">
        <v>0.47931178972212557</v>
      </c>
      <c r="Y120" s="9">
        <v>0.58775118832173012</v>
      </c>
      <c r="Z120" s="8">
        <v>27.177786542102297</v>
      </c>
      <c r="AA120" s="8">
        <v>77.340273692977945</v>
      </c>
      <c r="AB120" s="6">
        <v>0.53500005177089149</v>
      </c>
      <c r="AC120" s="8">
        <v>-54.896931977359408</v>
      </c>
      <c r="AD120" s="8">
        <v>0</v>
      </c>
      <c r="AE120" s="8">
        <v>0</v>
      </c>
      <c r="AF120" s="8">
        <v>0</v>
      </c>
      <c r="AG120" s="8">
        <v>0</v>
      </c>
      <c r="AH120" s="8">
        <v>0</v>
      </c>
      <c r="AI120" s="8">
        <v>0</v>
      </c>
    </row>
    <row r="121" spans="1:35" ht="15" x14ac:dyDescent="0.25">
      <c r="A121" s="15" t="str">
        <f>IFERROR(RIGHT(IF(VLOOKUP(B121,Patterns!H:I,2,0)="NO_PATTERN","",VLOOKUP(B121,Patterns!H:I,2,0)),LEN(IF(VLOOKUP(B121,Patterns!H:I,2,0)="NO_PATTERN","",VLOOKUP(B121,Patterns!H:I,2,0)))-3),"")</f>
        <v>SHOOTINGSTAR_Bear</v>
      </c>
      <c r="B121" s="3" t="s">
        <v>132</v>
      </c>
      <c r="C121" s="26">
        <v>17.569999694824219</v>
      </c>
      <c r="D121" s="8">
        <v>-1</v>
      </c>
      <c r="E121" s="7">
        <v>-3.7787542464881474E-2</v>
      </c>
      <c r="F121" s="9">
        <v>1.5636342198440139</v>
      </c>
      <c r="G121" s="9">
        <v>0.10908971108930188</v>
      </c>
      <c r="H121" s="8">
        <v>-86.713924519739237</v>
      </c>
      <c r="I121" s="8">
        <v>-45.512130955574399</v>
      </c>
      <c r="J121" s="7">
        <v>-8.7750973072911159E-2</v>
      </c>
      <c r="K121" s="7">
        <v>-0.16370494419406156</v>
      </c>
      <c r="L121" s="7">
        <v>-0.26793935665417667</v>
      </c>
      <c r="M121" s="8">
        <v>6.2810914105923672</v>
      </c>
      <c r="N121" s="8">
        <v>27.965188975340169</v>
      </c>
      <c r="O121" s="8">
        <v>-88.875914971087369</v>
      </c>
      <c r="P121" s="8">
        <v>41.398535046139443</v>
      </c>
      <c r="Q121" s="9">
        <v>0.67199078171045823</v>
      </c>
      <c r="R121" s="9">
        <v>0.84152234149381688</v>
      </c>
      <c r="S121" s="8">
        <v>-87.075214377801842</v>
      </c>
      <c r="T121" s="9">
        <v>0.15766814985135272</v>
      </c>
      <c r="U121" s="8">
        <v>69.664238318290174</v>
      </c>
      <c r="V121" s="7">
        <v>-0.19282700368348091</v>
      </c>
      <c r="W121" s="7">
        <v>-1.8499151852824008E-2</v>
      </c>
      <c r="X121" s="9">
        <v>0.44596694550770083</v>
      </c>
      <c r="Y121" s="9">
        <v>0.40495631414876815</v>
      </c>
      <c r="Z121" s="8">
        <v>20.758177845595956</v>
      </c>
      <c r="AA121" s="8">
        <v>-71.431390575597348</v>
      </c>
      <c r="AB121" s="6">
        <v>0.86571420942034039</v>
      </c>
      <c r="AC121" s="8">
        <v>78.293066133280732</v>
      </c>
      <c r="AD121" s="8">
        <v>0</v>
      </c>
      <c r="AE121" s="8">
        <v>0</v>
      </c>
      <c r="AF121" s="8">
        <v>0</v>
      </c>
      <c r="AG121" s="8">
        <v>0</v>
      </c>
      <c r="AH121" s="8">
        <v>0</v>
      </c>
      <c r="AI121" s="8">
        <v>0</v>
      </c>
    </row>
    <row r="122" spans="1:35" ht="15" x14ac:dyDescent="0.25">
      <c r="A122" s="15" t="str">
        <f>IFERROR(RIGHT(IF(VLOOKUP(B122,Patterns!H:I,2,0)="NO_PATTERN","",VLOOKUP(B122,Patterns!H:I,2,0)),LEN(IF(VLOOKUP(B122,Patterns!H:I,2,0)="NO_PATTERN","",VLOOKUP(B122,Patterns!H:I,2,0)))-3),"")</f>
        <v/>
      </c>
      <c r="B122" s="3" t="s">
        <v>115</v>
      </c>
      <c r="C122" s="26">
        <v>15.180000305175781</v>
      </c>
      <c r="D122" s="8">
        <v>0</v>
      </c>
      <c r="E122" s="7">
        <v>-2.6298899512457674E-2</v>
      </c>
      <c r="F122" s="9">
        <v>7.3333412806268825</v>
      </c>
      <c r="G122" s="9">
        <v>1.4999960263532255</v>
      </c>
      <c r="H122" s="8">
        <v>-86.621552175150882</v>
      </c>
      <c r="I122" s="8">
        <v>-72.840283382368909</v>
      </c>
      <c r="J122" s="7">
        <v>-0.10521545251152807</v>
      </c>
      <c r="K122" s="7">
        <v>-0.23702728663380107</v>
      </c>
      <c r="L122" s="7">
        <v>-0.4182791904996826</v>
      </c>
      <c r="M122" s="8">
        <v>6.0728365598941139</v>
      </c>
      <c r="N122" s="8">
        <v>24.378703100882007</v>
      </c>
      <c r="O122" s="8">
        <v>-88.530898816905321</v>
      </c>
      <c r="P122" s="8">
        <v>13.884872121646127</v>
      </c>
      <c r="Q122" s="9">
        <v>0.78001961176365486</v>
      </c>
      <c r="R122" s="9">
        <v>1.0352719325030835</v>
      </c>
      <c r="S122" s="8">
        <v>-88.208575309951641</v>
      </c>
      <c r="T122" s="9">
        <v>0.23234214442915826</v>
      </c>
      <c r="U122" s="8">
        <v>72.088152081966982</v>
      </c>
      <c r="V122" s="7">
        <v>-0.29973633726440368</v>
      </c>
      <c r="W122" s="7">
        <v>-2.9183251532348266E-2</v>
      </c>
      <c r="X122" s="9">
        <v>0.50565539380452285</v>
      </c>
      <c r="Y122" s="9">
        <v>0.44204151943814785</v>
      </c>
      <c r="Z122" s="8">
        <v>20.739137661451014</v>
      </c>
      <c r="AA122" s="8">
        <v>86.582970763164496</v>
      </c>
      <c r="AB122" s="6">
        <v>0.89214270455496647</v>
      </c>
      <c r="AC122" s="8">
        <v>64.799084753539447</v>
      </c>
      <c r="AD122" s="8">
        <v>0</v>
      </c>
      <c r="AE122" s="8">
        <v>0</v>
      </c>
      <c r="AF122" s="8">
        <v>0</v>
      </c>
      <c r="AG122" s="8">
        <v>0</v>
      </c>
      <c r="AH122" s="8">
        <v>0</v>
      </c>
      <c r="AI122" s="8">
        <v>0</v>
      </c>
    </row>
    <row r="123" spans="1:35" ht="15" x14ac:dyDescent="0.25">
      <c r="A123" s="15" t="str">
        <f>IFERROR(RIGHT(IF(VLOOKUP(B123,Patterns!H:I,2,0)="NO_PATTERN","",VLOOKUP(B123,Patterns!H:I,2,0)),LEN(IF(VLOOKUP(B123,Patterns!H:I,2,0)="NO_PATTERN","",VLOOKUP(B123,Patterns!H:I,2,0)))-3),"")</f>
        <v>RICKSHAWMAN_Bull</v>
      </c>
      <c r="B123" s="3" t="s">
        <v>158</v>
      </c>
      <c r="C123" s="26">
        <v>2.9700000286102295</v>
      </c>
      <c r="D123" s="8">
        <v>1</v>
      </c>
      <c r="E123" s="7">
        <v>-2.6229483592384861E-2</v>
      </c>
      <c r="F123" s="9">
        <v>4.2500059604701619</v>
      </c>
      <c r="G123" s="9">
        <v>1</v>
      </c>
      <c r="H123" s="8">
        <v>-78.469634732405297</v>
      </c>
      <c r="I123" s="8">
        <v>-52.277465805014444</v>
      </c>
      <c r="J123" s="7">
        <v>-5.9055983603262849E-2</v>
      </c>
      <c r="K123" s="7">
        <v>-0.14266447746285371</v>
      </c>
      <c r="L123" s="7">
        <v>-0.26319757670889582</v>
      </c>
      <c r="M123" s="8">
        <v>6.045708524040279</v>
      </c>
      <c r="N123" s="8">
        <v>29.569126079976428</v>
      </c>
      <c r="O123" s="8">
        <v>-87.596505007204286</v>
      </c>
      <c r="P123" s="8">
        <v>17.51151454347535</v>
      </c>
      <c r="Q123" s="9">
        <v>1.2857503217650783</v>
      </c>
      <c r="R123" s="9">
        <v>1.7516510682834947</v>
      </c>
      <c r="S123" s="8">
        <v>-83.942309855887061</v>
      </c>
      <c r="T123" s="9">
        <v>0.14416892259414266</v>
      </c>
      <c r="U123" s="8">
        <v>75.913536564230114</v>
      </c>
      <c r="V123" s="7">
        <v>-0.17135153148432908</v>
      </c>
      <c r="W123" s="7">
        <v>-1.3833635861830519E-2</v>
      </c>
      <c r="X123" s="9">
        <v>0.41004448366311075</v>
      </c>
      <c r="Y123" s="9">
        <v>0.50704701322247669</v>
      </c>
      <c r="Z123" s="8">
        <v>20.525155254804563</v>
      </c>
      <c r="AA123" s="8">
        <v>84.356579603729585</v>
      </c>
      <c r="AB123" s="6">
        <v>0.13714284556252615</v>
      </c>
      <c r="AC123" s="8">
        <v>2.4916693216031542</v>
      </c>
      <c r="AD123" s="8">
        <v>0</v>
      </c>
      <c r="AE123" s="8">
        <v>0</v>
      </c>
      <c r="AF123" s="8">
        <v>0</v>
      </c>
      <c r="AG123" s="8">
        <v>0</v>
      </c>
      <c r="AH123" s="8">
        <v>0</v>
      </c>
      <c r="AI123" s="8">
        <v>0</v>
      </c>
    </row>
    <row r="124" spans="1:35" ht="15" x14ac:dyDescent="0.25">
      <c r="A124" s="15" t="str">
        <f>IFERROR(RIGHT(IF(VLOOKUP(B124,Patterns!H:I,2,0)="NO_PATTERN","",VLOOKUP(B124,Patterns!H:I,2,0)),LEN(IF(VLOOKUP(B124,Patterns!H:I,2,0)="NO_PATTERN","",VLOOKUP(B124,Patterns!H:I,2,0)))-3),"")</f>
        <v/>
      </c>
      <c r="B124" s="3" t="s">
        <v>212</v>
      </c>
      <c r="C124" s="26">
        <v>7.4800000190734863</v>
      </c>
      <c r="D124" s="8">
        <v>0</v>
      </c>
      <c r="E124" s="7">
        <v>-6.6167315188995435E-2</v>
      </c>
      <c r="F124" s="9">
        <v>0.91111115820615907</v>
      </c>
      <c r="G124" s="9">
        <v>0</v>
      </c>
      <c r="H124" s="8">
        <v>-87.470247022503287</v>
      </c>
      <c r="I124" s="8">
        <v>-71.077492490603987</v>
      </c>
      <c r="J124" s="7">
        <v>-0.14632879918309927</v>
      </c>
      <c r="K124" s="7">
        <v>-0.28569905162164372</v>
      </c>
      <c r="L124" s="7">
        <v>-0.41000499309759819</v>
      </c>
      <c r="M124" s="8">
        <v>6.0091325162902081</v>
      </c>
      <c r="N124" s="8">
        <v>27.818100116370758</v>
      </c>
      <c r="O124" s="8">
        <v>-88.406662929314706</v>
      </c>
      <c r="P124" s="8">
        <v>27.81106635052625</v>
      </c>
      <c r="Q124" s="9">
        <v>1.752870450606586</v>
      </c>
      <c r="R124" s="9">
        <v>1.5644305028436074</v>
      </c>
      <c r="S124" s="8">
        <v>-86.346588084603027</v>
      </c>
      <c r="T124" s="9">
        <v>0.24422120452142429</v>
      </c>
      <c r="U124" s="8">
        <v>82.959346944195531</v>
      </c>
      <c r="V124" s="7">
        <v>-0.34788284019288623</v>
      </c>
      <c r="W124" s="7">
        <v>-5.4523549119025759E-2</v>
      </c>
      <c r="X124" s="9">
        <v>0.7313685068701008</v>
      </c>
      <c r="Y124" s="9">
        <v>0.4999280341196688</v>
      </c>
      <c r="Z124" s="8">
        <v>18.783209838498177</v>
      </c>
      <c r="AA124" s="8">
        <v>69.814534892068536</v>
      </c>
      <c r="AB124" s="6">
        <v>0.539285557610648</v>
      </c>
      <c r="AC124" s="8">
        <v>81.115331586523581</v>
      </c>
      <c r="AD124" s="8">
        <v>0</v>
      </c>
      <c r="AE124" s="8">
        <v>0</v>
      </c>
      <c r="AF124" s="8">
        <v>0</v>
      </c>
      <c r="AG124" s="8">
        <v>0</v>
      </c>
      <c r="AH124" s="8">
        <v>0</v>
      </c>
      <c r="AI124" s="8">
        <v>0</v>
      </c>
    </row>
    <row r="125" spans="1:35" ht="15" x14ac:dyDescent="0.25">
      <c r="A125" s="15" t="str">
        <f>IFERROR(RIGHT(IF(VLOOKUP(B125,Patterns!H:I,2,0)="NO_PATTERN","",VLOOKUP(B125,Patterns!H:I,2,0)),LEN(IF(VLOOKUP(B125,Patterns!H:I,2,0)="NO_PATTERN","",VLOOKUP(B125,Patterns!H:I,2,0)))-3),"")</f>
        <v/>
      </c>
      <c r="B125" s="3" t="s">
        <v>148</v>
      </c>
      <c r="C125" s="26">
        <v>10.539999961853027</v>
      </c>
      <c r="D125" s="8">
        <v>0</v>
      </c>
      <c r="E125" s="7">
        <v>-1.9534887269485823E-2</v>
      </c>
      <c r="F125" s="9">
        <v>7.5555461365659307</v>
      </c>
      <c r="G125" s="9">
        <v>1.7777730682829653</v>
      </c>
      <c r="H125" s="8">
        <v>-86.885057177204459</v>
      </c>
      <c r="I125" s="8">
        <v>-70.086491227222723</v>
      </c>
      <c r="J125" s="7">
        <v>-9.5607563851821203E-2</v>
      </c>
      <c r="K125" s="7">
        <v>-0.22954762219712133</v>
      </c>
      <c r="L125" s="7">
        <v>-0.45745587785750252</v>
      </c>
      <c r="M125" s="8">
        <v>5.9531197903588122</v>
      </c>
      <c r="N125" s="8">
        <v>23.620746709331854</v>
      </c>
      <c r="O125" s="8">
        <v>-88.463321438676445</v>
      </c>
      <c r="P125" s="8">
        <v>16.778490360956468</v>
      </c>
      <c r="Q125" s="9">
        <v>1.3744445680080846</v>
      </c>
      <c r="R125" s="9">
        <v>1.4997346718597173</v>
      </c>
      <c r="S125" s="8">
        <v>-88.082145555501853</v>
      </c>
      <c r="T125" s="9">
        <v>0.22891156581972455</v>
      </c>
      <c r="U125" s="8">
        <v>35.707134794844784</v>
      </c>
      <c r="V125" s="7">
        <v>-0.28030245734867565</v>
      </c>
      <c r="W125" s="7">
        <v>-1.7325635182344302E-2</v>
      </c>
      <c r="X125" s="9">
        <v>0.49506643742166312</v>
      </c>
      <c r="Y125" s="9">
        <v>0.38688111008059861</v>
      </c>
      <c r="Z125" s="8">
        <v>25.636902141071552</v>
      </c>
      <c r="AA125" s="8">
        <v>82.455277317873623</v>
      </c>
      <c r="AB125" s="6">
        <v>0.59285715648106163</v>
      </c>
      <c r="AC125" s="8">
        <v>74.017078563977293</v>
      </c>
      <c r="AD125" s="8">
        <v>0</v>
      </c>
      <c r="AE125" s="8">
        <v>0</v>
      </c>
      <c r="AF125" s="8">
        <v>0</v>
      </c>
      <c r="AG125" s="8">
        <v>0</v>
      </c>
      <c r="AH125" s="8">
        <v>0</v>
      </c>
      <c r="AI125" s="8">
        <v>0</v>
      </c>
    </row>
    <row r="126" spans="1:35" ht="15" x14ac:dyDescent="0.25">
      <c r="A126" s="15" t="str">
        <f>IFERROR(RIGHT(IF(VLOOKUP(B126,Patterns!H:I,2,0)="NO_PATTERN","",VLOOKUP(B126,Patterns!H:I,2,0)),LEN(IF(VLOOKUP(B126,Patterns!H:I,2,0)="NO_PATTERN","",VLOOKUP(B126,Patterns!H:I,2,0)))-3),"")</f>
        <v>SHOOTINGSTAR_Bear</v>
      </c>
      <c r="B126" s="3" t="s">
        <v>123</v>
      </c>
      <c r="C126" s="26">
        <v>7.179999828338623</v>
      </c>
      <c r="D126" s="8">
        <v>-1</v>
      </c>
      <c r="E126" s="7">
        <v>-6.0209430129031238E-2</v>
      </c>
      <c r="F126" s="9">
        <v>0.74999910593054153</v>
      </c>
      <c r="G126" s="9">
        <v>0</v>
      </c>
      <c r="H126" s="8">
        <v>-85.323356686701146</v>
      </c>
      <c r="I126" s="8">
        <v>-42.283097827604472</v>
      </c>
      <c r="J126" s="7">
        <v>-0.10904401399377689</v>
      </c>
      <c r="K126" s="7">
        <v>-0.20840352151729497</v>
      </c>
      <c r="L126" s="7">
        <v>-0.34606614923300466</v>
      </c>
      <c r="M126" s="8">
        <v>5.8090731917313434</v>
      </c>
      <c r="N126" s="8">
        <v>24.621150247728295</v>
      </c>
      <c r="O126" s="8">
        <v>-88.951749913287941</v>
      </c>
      <c r="P126" s="8">
        <v>34.463371005602056</v>
      </c>
      <c r="Q126" s="9">
        <v>1.8147700746855859</v>
      </c>
      <c r="R126" s="9">
        <v>2.3753657345865782</v>
      </c>
      <c r="S126" s="8">
        <v>-87.443437918414872</v>
      </c>
      <c r="T126" s="9">
        <v>0.17438756585795934</v>
      </c>
      <c r="U126" s="8">
        <v>79.162570393586208</v>
      </c>
      <c r="V126" s="7">
        <v>-0.23959778077082777</v>
      </c>
      <c r="W126" s="7">
        <v>-4.0764377723604688E-2</v>
      </c>
      <c r="X126" s="9">
        <v>0.46306570840565187</v>
      </c>
      <c r="Y126" s="9">
        <v>0.38207925218095395</v>
      </c>
      <c r="Z126" s="8">
        <v>29.705637832721404</v>
      </c>
      <c r="AA126" s="8">
        <v>-81.117488793113154</v>
      </c>
      <c r="AB126" s="6">
        <v>0.37071425574166433</v>
      </c>
      <c r="AC126" s="8">
        <v>76.794500894774586</v>
      </c>
      <c r="AD126" s="8">
        <v>0</v>
      </c>
      <c r="AE126" s="8">
        <v>0</v>
      </c>
      <c r="AF126" s="8">
        <v>0</v>
      </c>
      <c r="AG126" s="8">
        <v>0</v>
      </c>
      <c r="AH126" s="8">
        <v>0</v>
      </c>
      <c r="AI126" s="8">
        <v>0</v>
      </c>
    </row>
    <row r="127" spans="1:35" ht="15" x14ac:dyDescent="0.25">
      <c r="A127" s="15" t="str">
        <f>IFERROR(RIGHT(IF(VLOOKUP(B127,Patterns!H:I,2,0)="NO_PATTERN","",VLOOKUP(B127,Patterns!H:I,2,0)),LEN(IF(VLOOKUP(B127,Patterns!H:I,2,0)="NO_PATTERN","",VLOOKUP(B127,Patterns!H:I,2,0)))-3),"")</f>
        <v>SPINNINGTOP_Bull</v>
      </c>
      <c r="B127" s="3" t="s">
        <v>186</v>
      </c>
      <c r="C127" s="26">
        <v>10.180000305175781</v>
      </c>
      <c r="D127" s="8">
        <v>1</v>
      </c>
      <c r="E127" s="7">
        <v>-5.5658575385700626E-2</v>
      </c>
      <c r="F127" s="9">
        <v>1.0612259197122627</v>
      </c>
      <c r="G127" s="9">
        <v>0</v>
      </c>
      <c r="H127" s="8">
        <v>-87.835283120030454</v>
      </c>
      <c r="I127" s="8">
        <v>-72.464992648960703</v>
      </c>
      <c r="J127" s="7">
        <v>-0.13298685209588632</v>
      </c>
      <c r="K127" s="7">
        <v>-0.20071722858691288</v>
      </c>
      <c r="L127" s="7">
        <v>-0.24532758129523707</v>
      </c>
      <c r="M127" s="8">
        <v>5.8033042069931184</v>
      </c>
      <c r="N127" s="8">
        <v>27.11676009378337</v>
      </c>
      <c r="O127" s="8">
        <v>-88.716067788137323</v>
      </c>
      <c r="P127" s="8">
        <v>25.962839460143872</v>
      </c>
      <c r="Q127" s="9">
        <v>0.41332223989925954</v>
      </c>
      <c r="R127" s="9">
        <v>0.55172078580376005</v>
      </c>
      <c r="S127" s="8">
        <v>-87.028293930425363</v>
      </c>
      <c r="T127" s="9">
        <v>0.21193725175744163</v>
      </c>
      <c r="U127" s="8">
        <v>84.392221554498846</v>
      </c>
      <c r="V127" s="7">
        <v>-0.2953304163685041</v>
      </c>
      <c r="W127" s="7">
        <v>-4.7105681833342114E-2</v>
      </c>
      <c r="X127" s="9">
        <v>0.61618752451586167</v>
      </c>
      <c r="Y127" s="9">
        <v>0.43829914283126481</v>
      </c>
      <c r="Z127" s="8">
        <v>16.199359291157652</v>
      </c>
      <c r="AA127" s="8">
        <v>56.702599335988971</v>
      </c>
      <c r="AB127" s="6">
        <v>0.68214300700596397</v>
      </c>
      <c r="AC127" s="8">
        <v>78.724883303235117</v>
      </c>
      <c r="AD127" s="8">
        <v>0</v>
      </c>
      <c r="AE127" s="8">
        <v>0</v>
      </c>
      <c r="AF127" s="8">
        <v>0</v>
      </c>
      <c r="AG127" s="8">
        <v>0</v>
      </c>
      <c r="AH127" s="8">
        <v>0</v>
      </c>
      <c r="AI127" s="8">
        <v>0</v>
      </c>
    </row>
    <row r="128" spans="1:35" ht="15" x14ac:dyDescent="0.25">
      <c r="A128" s="15" t="str">
        <f>IFERROR(RIGHT(IF(VLOOKUP(B128,Patterns!H:I,2,0)="NO_PATTERN","",VLOOKUP(B128,Patterns!H:I,2,0)),LEN(IF(VLOOKUP(B128,Patterns!H:I,2,0)="NO_PATTERN","",VLOOKUP(B128,Patterns!H:I,2,0)))-3),"")</f>
        <v>SPINNINGTOP_Bull</v>
      </c>
      <c r="B128" s="3" t="s">
        <v>144</v>
      </c>
      <c r="C128" s="26">
        <v>22.649999618530273</v>
      </c>
      <c r="D128" s="8">
        <v>1</v>
      </c>
      <c r="E128" s="7">
        <v>-5.6250015894571903E-2</v>
      </c>
      <c r="F128" s="9">
        <v>1.2872323372515122</v>
      </c>
      <c r="G128" s="9">
        <v>0.13829690096605124</v>
      </c>
      <c r="H128" s="8">
        <v>-85.494225725242828</v>
      </c>
      <c r="I128" s="8">
        <v>13.693210254330745</v>
      </c>
      <c r="J128" s="7">
        <v>-9.8099810622537628E-2</v>
      </c>
      <c r="K128" s="7">
        <v>-0.13916916662134152</v>
      </c>
      <c r="L128" s="7">
        <v>-0.27073551923952299</v>
      </c>
      <c r="M128" s="8">
        <v>5.800281988251129</v>
      </c>
      <c r="N128" s="8">
        <v>33.07042731236163</v>
      </c>
      <c r="O128" s="8">
        <v>-88.509873308809276</v>
      </c>
      <c r="P128" s="8">
        <v>47.526675745683519</v>
      </c>
      <c r="Q128" s="9">
        <v>1.0109525810846063</v>
      </c>
      <c r="R128" s="9">
        <v>1.289312938844374</v>
      </c>
      <c r="S128" s="8">
        <v>-86.425132547041898</v>
      </c>
      <c r="T128" s="9">
        <v>0.23017207050415528</v>
      </c>
      <c r="U128" s="8">
        <v>57.13949794915834</v>
      </c>
      <c r="V128" s="7">
        <v>-0.23038545538804717</v>
      </c>
      <c r="W128" s="7">
        <v>2.3586308970784738E-2</v>
      </c>
      <c r="X128" s="9">
        <v>0.65616650532584164</v>
      </c>
      <c r="Y128" s="9">
        <v>0.46908747314870386</v>
      </c>
      <c r="Z128" s="8">
        <v>23.718392988423513</v>
      </c>
      <c r="AA128" s="8">
        <v>-83.836815936505175</v>
      </c>
      <c r="AB128" s="6">
        <v>1.5449999400547572</v>
      </c>
      <c r="AC128" s="8">
        <v>74.399768002922386</v>
      </c>
      <c r="AD128" s="8">
        <v>0</v>
      </c>
      <c r="AE128" s="8">
        <v>0</v>
      </c>
      <c r="AF128" s="8">
        <v>0</v>
      </c>
      <c r="AG128" s="8">
        <v>0</v>
      </c>
      <c r="AH128" s="8">
        <v>0</v>
      </c>
      <c r="AI128" s="8">
        <v>0</v>
      </c>
    </row>
    <row r="129" spans="1:35" ht="15" x14ac:dyDescent="0.25">
      <c r="A129" s="15" t="str">
        <f>IFERROR(RIGHT(IF(VLOOKUP(B129,Patterns!H:I,2,0)="NO_PATTERN","",VLOOKUP(B129,Patterns!H:I,2,0)),LEN(IF(VLOOKUP(B129,Patterns!H:I,2,0)="NO_PATTERN","",VLOOKUP(B129,Patterns!H:I,2,0)))-3),"")</f>
        <v>HANGINGMAN_Bear</v>
      </c>
      <c r="B129" s="3" t="s">
        <v>160</v>
      </c>
      <c r="C129" s="26">
        <v>21</v>
      </c>
      <c r="D129" s="8">
        <v>-1</v>
      </c>
      <c r="E129" s="7">
        <v>-2.6425577324462934E-2</v>
      </c>
      <c r="F129" s="9"/>
      <c r="G129" s="9"/>
      <c r="H129" s="8">
        <v>-87.243079796022585</v>
      </c>
      <c r="I129" s="8">
        <v>-67.284625880513104</v>
      </c>
      <c r="J129" s="7">
        <v>-9.8884236649049106E-2</v>
      </c>
      <c r="K129" s="7">
        <v>-0.17943120285847719</v>
      </c>
      <c r="L129" s="7">
        <v>-0.2024877681557283</v>
      </c>
      <c r="M129" s="8">
        <v>5.7877024861584516</v>
      </c>
      <c r="N129" s="8">
        <v>24.865823923813693</v>
      </c>
      <c r="O129" s="8">
        <v>-88.977305082464056</v>
      </c>
      <c r="P129" s="8">
        <v>20.169479386160891</v>
      </c>
      <c r="Q129" s="9">
        <v>0.73538575371680803</v>
      </c>
      <c r="R129" s="9">
        <v>0.99715615062258522</v>
      </c>
      <c r="S129" s="8">
        <v>-84.62146140373936</v>
      </c>
      <c r="T129" s="9">
        <v>0.19422217102781389</v>
      </c>
      <c r="U129" s="8">
        <v>80.864491863466384</v>
      </c>
      <c r="V129" s="7">
        <v>-0.25277537341524453</v>
      </c>
      <c r="W129" s="7">
        <v>-3.0995868998957461E-2</v>
      </c>
      <c r="X129" s="9">
        <v>0.42835491967679851</v>
      </c>
      <c r="Y129" s="9">
        <v>0.38764896910883467</v>
      </c>
      <c r="Z129" s="8">
        <v>19.726375945136478</v>
      </c>
      <c r="AA129" s="8">
        <v>86.151061727512811</v>
      </c>
      <c r="AB129" s="6">
        <v>1.0471427100045341</v>
      </c>
      <c r="AC129" s="8">
        <v>84.348441480515817</v>
      </c>
      <c r="AD129" s="8">
        <v>0</v>
      </c>
      <c r="AE129" s="8">
        <v>0</v>
      </c>
      <c r="AF129" s="8">
        <v>0</v>
      </c>
      <c r="AG129" s="8">
        <v>0</v>
      </c>
      <c r="AH129" s="8">
        <v>0</v>
      </c>
      <c r="AI129" s="8">
        <v>0</v>
      </c>
    </row>
    <row r="130" spans="1:35" ht="15" x14ac:dyDescent="0.25">
      <c r="A130" s="15" t="str">
        <f>IFERROR(RIGHT(IF(VLOOKUP(B130,Patterns!H:I,2,0)="NO_PATTERN","",VLOOKUP(B130,Patterns!H:I,2,0)),LEN(IF(VLOOKUP(B130,Patterns!H:I,2,0)="NO_PATTERN","",VLOOKUP(B130,Patterns!H:I,2,0)))-3),"")</f>
        <v/>
      </c>
      <c r="B130" s="3" t="s">
        <v>155</v>
      </c>
      <c r="C130" s="26">
        <v>8.2899999618530273</v>
      </c>
      <c r="D130" s="8">
        <v>0</v>
      </c>
      <c r="E130" s="7">
        <v>-6.5388943764286944E-2</v>
      </c>
      <c r="F130" s="9">
        <v>0.5999996532094598</v>
      </c>
      <c r="G130" s="9">
        <v>0</v>
      </c>
      <c r="H130" s="8">
        <v>-86.628944294368523</v>
      </c>
      <c r="I130" s="8">
        <v>47.524480213999958</v>
      </c>
      <c r="J130" s="7">
        <v>-0.11156736241574687</v>
      </c>
      <c r="K130" s="7">
        <v>-0.17501956416036893</v>
      </c>
      <c r="L130" s="7">
        <v>-0.33824847890894805</v>
      </c>
      <c r="M130" s="8">
        <v>5.7332518184000207</v>
      </c>
      <c r="N130" s="8">
        <v>28.730416138027351</v>
      </c>
      <c r="O130" s="8">
        <v>-88.828973974684956</v>
      </c>
      <c r="P130" s="8">
        <v>51.048468717463514</v>
      </c>
      <c r="Q130" s="9">
        <v>1.565983756354119</v>
      </c>
      <c r="R130" s="9">
        <v>1.7253682588770807</v>
      </c>
      <c r="S130" s="8">
        <v>-88.642004769014349</v>
      </c>
      <c r="T130" s="9">
        <v>0.22136742336323759</v>
      </c>
      <c r="U130" s="8">
        <v>70.421364240318908</v>
      </c>
      <c r="V130" s="7">
        <v>-0.24754299197730392</v>
      </c>
      <c r="W130" s="7">
        <v>1.1014913839895583E-3</v>
      </c>
      <c r="X130" s="9">
        <v>0.55568934904657463</v>
      </c>
      <c r="Y130" s="9">
        <v>0.39470767510054378</v>
      </c>
      <c r="Z130" s="8">
        <v>26.01495016908104</v>
      </c>
      <c r="AA130" s="8">
        <v>-83.084495761471715</v>
      </c>
      <c r="AB130" s="6">
        <v>0.46857145854404997</v>
      </c>
      <c r="AC130" s="8">
        <v>79.474422093892258</v>
      </c>
      <c r="AD130" s="8">
        <v>0</v>
      </c>
      <c r="AE130" s="8">
        <v>0</v>
      </c>
      <c r="AF130" s="8">
        <v>0</v>
      </c>
      <c r="AG130" s="8">
        <v>-1</v>
      </c>
      <c r="AH130" s="8">
        <v>-1</v>
      </c>
      <c r="AI130" s="8">
        <v>1</v>
      </c>
    </row>
    <row r="131" spans="1:35" ht="15" x14ac:dyDescent="0.25">
      <c r="A131" s="15" t="str">
        <f>IFERROR(RIGHT(IF(VLOOKUP(B131,Patterns!H:I,2,0)="NO_PATTERN","",VLOOKUP(B131,Patterns!H:I,2,0)),LEN(IF(VLOOKUP(B131,Patterns!H:I,2,0)="NO_PATTERN","",VLOOKUP(B131,Patterns!H:I,2,0)))-3),"")</f>
        <v>CLOSINGMARUBOZU_Bull</v>
      </c>
      <c r="B131" s="3" t="s">
        <v>141</v>
      </c>
      <c r="C131" s="26">
        <v>19.780000686645508</v>
      </c>
      <c r="D131" s="8">
        <v>1</v>
      </c>
      <c r="E131" s="7">
        <v>-3.8872655006136791E-2</v>
      </c>
      <c r="F131" s="9">
        <v>1.4193590067003428</v>
      </c>
      <c r="G131" s="9">
        <v>0.32258243144300403</v>
      </c>
      <c r="H131" s="8">
        <v>-84.515843154614259</v>
      </c>
      <c r="I131" s="8">
        <v>-65.175462434058957</v>
      </c>
      <c r="J131" s="7">
        <v>-0.11506097686467937</v>
      </c>
      <c r="K131" s="7">
        <v>-0.2542543950889028</v>
      </c>
      <c r="L131" s="7">
        <v>-0.51030096905021205</v>
      </c>
      <c r="M131" s="8">
        <v>5.6030385940932916</v>
      </c>
      <c r="N131" s="8">
        <v>24.922024454637125</v>
      </c>
      <c r="O131" s="8">
        <v>-88.187815635496065</v>
      </c>
      <c r="P131" s="8">
        <v>12.484311676403321</v>
      </c>
      <c r="Q131" s="9">
        <v>0.70203716747033629</v>
      </c>
      <c r="R131" s="9">
        <v>0.90887091576350731</v>
      </c>
      <c r="S131" s="8">
        <v>-85.817816140299172</v>
      </c>
      <c r="T131" s="9">
        <v>0.22707158047788051</v>
      </c>
      <c r="U131" s="8">
        <v>79.449445564228327</v>
      </c>
      <c r="V131" s="7">
        <v>-0.30215563819993968</v>
      </c>
      <c r="W131" s="7">
        <v>-3.6620806373118472E-2</v>
      </c>
      <c r="X131" s="9">
        <v>0.54755010292677908</v>
      </c>
      <c r="Y131" s="9">
        <v>0.42950704746755297</v>
      </c>
      <c r="Z131" s="8">
        <v>23.183872270875579</v>
      </c>
      <c r="AA131" s="8">
        <v>86.28239329399949</v>
      </c>
      <c r="AB131" s="6">
        <v>1.1757142203194755</v>
      </c>
      <c r="AC131" s="8">
        <v>63.935841793375481</v>
      </c>
      <c r="AD131" s="8">
        <v>0</v>
      </c>
      <c r="AE131" s="8">
        <v>0</v>
      </c>
      <c r="AF131" s="8">
        <v>0</v>
      </c>
      <c r="AG131" s="8">
        <v>0</v>
      </c>
      <c r="AH131" s="8">
        <v>0</v>
      </c>
      <c r="AI131" s="8">
        <v>0</v>
      </c>
    </row>
    <row r="132" spans="1:35" ht="15" x14ac:dyDescent="0.25">
      <c r="A132" s="15" t="str">
        <f>IFERROR(RIGHT(IF(VLOOKUP(B132,Patterns!H:I,2,0)="NO_PATTERN","",VLOOKUP(B132,Patterns!H:I,2,0)),LEN(IF(VLOOKUP(B132,Patterns!H:I,2,0)="NO_PATTERN","",VLOOKUP(B132,Patterns!H:I,2,0)))-3),"")</f>
        <v/>
      </c>
      <c r="B132" s="3" t="s">
        <v>217</v>
      </c>
      <c r="C132" s="26">
        <v>6.1500000953674316</v>
      </c>
      <c r="D132" s="8">
        <v>0</v>
      </c>
      <c r="E132" s="7">
        <v>-5.5299557735382532E-2</v>
      </c>
      <c r="F132" s="9">
        <v>0.69696991590324542</v>
      </c>
      <c r="G132" s="9">
        <v>3.0302285928965698E-2</v>
      </c>
      <c r="H132" s="8">
        <v>-84.859096268836666</v>
      </c>
      <c r="I132" s="8">
        <v>-64.973637119763026</v>
      </c>
      <c r="J132" s="7">
        <v>-0.1252415254726382</v>
      </c>
      <c r="K132" s="7">
        <v>-0.38109161972599814</v>
      </c>
      <c r="L132" s="7">
        <v>-0.78075545193611418</v>
      </c>
      <c r="M132" s="8">
        <v>5.5047851727149748</v>
      </c>
      <c r="N132" s="8">
        <v>22.709296448698026</v>
      </c>
      <c r="O132" s="8">
        <v>-87.988373335002748</v>
      </c>
      <c r="P132" s="8">
        <v>15.768848729283457</v>
      </c>
      <c r="Q132" s="9">
        <v>1.5870351239669422</v>
      </c>
      <c r="R132" s="9">
        <v>1.698449920508744</v>
      </c>
      <c r="S132" s="8">
        <v>-87.772900644857145</v>
      </c>
      <c r="T132" s="9">
        <v>0.23894584823205972</v>
      </c>
      <c r="U132" s="8">
        <v>54.263790314110977</v>
      </c>
      <c r="V132" s="7">
        <v>-0.32762205946552797</v>
      </c>
      <c r="W132" s="7">
        <v>-4.4247828345933021E-2</v>
      </c>
      <c r="X132" s="9">
        <v>0.52316696719296973</v>
      </c>
      <c r="Y132" s="9">
        <v>0.47279884440294784</v>
      </c>
      <c r="Z132" s="8">
        <v>39.275258584208188</v>
      </c>
      <c r="AA132" s="8">
        <v>-63.00136922888543</v>
      </c>
      <c r="AB132" s="6">
        <v>0.39071433884756906</v>
      </c>
      <c r="AC132" s="8">
        <v>12.564659197967318</v>
      </c>
      <c r="AD132" s="8">
        <v>0</v>
      </c>
      <c r="AE132" s="8">
        <v>0</v>
      </c>
      <c r="AF132" s="8">
        <v>0</v>
      </c>
      <c r="AG132" s="8">
        <v>-1</v>
      </c>
      <c r="AH132" s="8">
        <v>0</v>
      </c>
      <c r="AI132" s="8">
        <v>0</v>
      </c>
    </row>
    <row r="133" spans="1:35" ht="15" x14ac:dyDescent="0.25">
      <c r="A133" s="15" t="str">
        <f>IFERROR(RIGHT(IF(VLOOKUP(B133,Patterns!H:I,2,0)="NO_PATTERN","",VLOOKUP(B133,Patterns!H:I,2,0)),LEN(IF(VLOOKUP(B133,Patterns!H:I,2,0)="NO_PATTERN","",VLOOKUP(B133,Patterns!H:I,2,0)))-3),"")</f>
        <v/>
      </c>
      <c r="B133" s="3" t="s">
        <v>130</v>
      </c>
      <c r="C133" s="26">
        <v>17.100000381469727</v>
      </c>
      <c r="D133" s="8">
        <v>0</v>
      </c>
      <c r="E133" s="7">
        <v>-3.1161430535279866E-2</v>
      </c>
      <c r="F133" s="9">
        <v>4.9166726271368288</v>
      </c>
      <c r="G133" s="9">
        <v>0.2083303530982524</v>
      </c>
      <c r="H133" s="8">
        <v>-82.900976875634569</v>
      </c>
      <c r="I133" s="8">
        <v>-70.636456333823872</v>
      </c>
      <c r="J133" s="7">
        <v>-0.10500152337002271</v>
      </c>
      <c r="K133" s="7">
        <v>-0.22410939145311659</v>
      </c>
      <c r="L133" s="7">
        <v>-0.26906347999546354</v>
      </c>
      <c r="M133" s="8">
        <v>5.3876224860566708</v>
      </c>
      <c r="N133" s="8">
        <v>27.225784993697317</v>
      </c>
      <c r="O133" s="8">
        <v>-87.257438992768513</v>
      </c>
      <c r="P133" s="8">
        <v>7.7504872766090971</v>
      </c>
      <c r="Q133" s="9">
        <v>0.94566463901076991</v>
      </c>
      <c r="R133" s="9">
        <v>0.87011434140917832</v>
      </c>
      <c r="S133" s="8">
        <v>-85.893021590201172</v>
      </c>
      <c r="T133" s="9">
        <v>0.36169291026575612</v>
      </c>
      <c r="U133" s="8">
        <v>81.615805837770296</v>
      </c>
      <c r="V133" s="7">
        <v>-0.42188410806207532</v>
      </c>
      <c r="W133" s="7">
        <v>1.3638562027770924E-2</v>
      </c>
      <c r="X133" s="9">
        <v>0.6523949943830083</v>
      </c>
      <c r="Y133" s="9">
        <v>0.56783640449183381</v>
      </c>
      <c r="Z133" s="8">
        <v>20.146053762476157</v>
      </c>
      <c r="AA133" s="8">
        <v>83.988451790917765</v>
      </c>
      <c r="AB133" s="6">
        <v>1.2164288929530553</v>
      </c>
      <c r="AC133" s="8">
        <v>1.0177774980683254E-13</v>
      </c>
      <c r="AD133" s="8">
        <v>0</v>
      </c>
      <c r="AE133" s="8">
        <v>0</v>
      </c>
      <c r="AF133" s="8">
        <v>0</v>
      </c>
      <c r="AG133" s="8">
        <v>0</v>
      </c>
      <c r="AH133" s="8">
        <v>0</v>
      </c>
      <c r="AI133" s="8">
        <v>0</v>
      </c>
    </row>
    <row r="134" spans="1:35" ht="15" x14ac:dyDescent="0.25">
      <c r="A134" s="15" t="str">
        <f>IFERROR(RIGHT(IF(VLOOKUP(B134,Patterns!H:I,2,0)="NO_PATTERN","",VLOOKUP(B134,Patterns!H:I,2,0)),LEN(IF(VLOOKUP(B134,Patterns!H:I,2,0)="NO_PATTERN","",VLOOKUP(B134,Patterns!H:I,2,0)))-3),"")</f>
        <v>SHORTLINE_Bear</v>
      </c>
      <c r="B134" s="3" t="s">
        <v>118</v>
      </c>
      <c r="C134" s="26">
        <v>23.139999389648438</v>
      </c>
      <c r="D134" s="8">
        <v>-1</v>
      </c>
      <c r="E134" s="7">
        <v>-2.9362447921942092E-2</v>
      </c>
      <c r="F134" s="9">
        <v>1.4999937803983032</v>
      </c>
      <c r="G134" s="9">
        <v>2.1739581130557732E-2</v>
      </c>
      <c r="H134" s="8">
        <v>-86.045573726746795</v>
      </c>
      <c r="I134" s="8">
        <v>-68.774443317594759</v>
      </c>
      <c r="J134" s="7">
        <v>-4.3084003467239042E-2</v>
      </c>
      <c r="K134" s="7">
        <v>-7.1381321240838472E-2</v>
      </c>
      <c r="L134" s="7">
        <v>-3.4866340857772939E-2</v>
      </c>
      <c r="M134" s="8">
        <v>5.2203331996280582</v>
      </c>
      <c r="N134" s="8">
        <v>24.920638653646179</v>
      </c>
      <c r="O134" s="8">
        <v>-88.244383735226648</v>
      </c>
      <c r="P134" s="8">
        <v>22.553300995704578</v>
      </c>
      <c r="Q134" s="9">
        <v>0.60317079617429092</v>
      </c>
      <c r="R134" s="9">
        <v>0.8890519183453125</v>
      </c>
      <c r="S134" s="8">
        <v>-87.353946290844334</v>
      </c>
      <c r="T134" s="9">
        <v>0.11276218469379036</v>
      </c>
      <c r="U134" s="8">
        <v>75.361725833730432</v>
      </c>
      <c r="V134" s="7">
        <v>-0.1289673865360112</v>
      </c>
      <c r="W134" s="7">
        <v>-8.4570613549589564E-3</v>
      </c>
      <c r="X134" s="9">
        <v>0.21372040816074755</v>
      </c>
      <c r="Y134" s="9">
        <v>0.29631892045047775</v>
      </c>
      <c r="Z134" s="8">
        <v>15.681013709919029</v>
      </c>
      <c r="AA134" s="8">
        <v>86.343506252214794</v>
      </c>
      <c r="AB134" s="6">
        <v>0.80428532191685265</v>
      </c>
      <c r="AC134" s="8">
        <v>82.183811731226825</v>
      </c>
      <c r="AD134" s="8">
        <v>0</v>
      </c>
      <c r="AE134" s="8">
        <v>0</v>
      </c>
      <c r="AF134" s="8">
        <v>0</v>
      </c>
      <c r="AG134" s="8">
        <v>0</v>
      </c>
      <c r="AH134" s="8">
        <v>0</v>
      </c>
      <c r="AI134" s="8">
        <v>0</v>
      </c>
    </row>
    <row r="135" spans="1:35" ht="15" x14ac:dyDescent="0.25">
      <c r="A135" s="15" t="str">
        <f>IFERROR(RIGHT(IF(VLOOKUP(B135,Patterns!H:I,2,0)="NO_PATTERN","",VLOOKUP(B135,Patterns!H:I,2,0)),LEN(IF(VLOOKUP(B135,Patterns!H:I,2,0)="NO_PATTERN","",VLOOKUP(B135,Patterns!H:I,2,0)))-3),"")</f>
        <v/>
      </c>
      <c r="B135" s="3" t="s">
        <v>104</v>
      </c>
      <c r="C135" s="26">
        <v>47.849998474121094</v>
      </c>
      <c r="D135" s="8">
        <v>0</v>
      </c>
      <c r="E135" s="7">
        <v>-3.1572584054009534E-2</v>
      </c>
      <c r="F135" s="9">
        <v>1.8552577423078853</v>
      </c>
      <c r="G135" s="9">
        <v>0.5</v>
      </c>
      <c r="H135" s="8">
        <v>-86.909791325194448</v>
      </c>
      <c r="I135" s="8">
        <v>-65.249649190741636</v>
      </c>
      <c r="J135" s="7">
        <v>-9.305509942840752E-2</v>
      </c>
      <c r="K135" s="7">
        <v>-0.17200384484276432</v>
      </c>
      <c r="L135" s="7">
        <v>-0.23089901030827442</v>
      </c>
      <c r="M135" s="8">
        <v>5.13036877392382</v>
      </c>
      <c r="N135" s="8">
        <v>24.277016384070748</v>
      </c>
      <c r="O135" s="8">
        <v>-88.690709057316397</v>
      </c>
      <c r="P135" s="8">
        <v>20.082116823425594</v>
      </c>
      <c r="Q135" s="9">
        <v>0.58617592933382401</v>
      </c>
      <c r="R135" s="9">
        <v>0.67254369739876374</v>
      </c>
      <c r="S135" s="8">
        <v>-86.281024571952372</v>
      </c>
      <c r="T135" s="9">
        <v>0.17280390690757727</v>
      </c>
      <c r="U135" s="8">
        <v>82.109453686042301</v>
      </c>
      <c r="V135" s="7">
        <v>-0.22936399356882894</v>
      </c>
      <c r="W135" s="7">
        <v>-3.3820437682511507E-2</v>
      </c>
      <c r="X135" s="9">
        <v>0.39059946441158372</v>
      </c>
      <c r="Y135" s="9">
        <v>0.38398466494476441</v>
      </c>
      <c r="Z135" s="8">
        <v>21.231185998298379</v>
      </c>
      <c r="AA135" s="8">
        <v>86.64674614475399</v>
      </c>
      <c r="AB135" s="6">
        <v>2.2399992261614119</v>
      </c>
      <c r="AC135" s="8">
        <v>81.921090494356321</v>
      </c>
      <c r="AD135" s="8">
        <v>0</v>
      </c>
      <c r="AE135" s="8">
        <v>0</v>
      </c>
      <c r="AF135" s="8">
        <v>0</v>
      </c>
      <c r="AG135" s="8">
        <v>0</v>
      </c>
      <c r="AH135" s="8">
        <v>0</v>
      </c>
      <c r="AI135" s="8">
        <v>0</v>
      </c>
    </row>
    <row r="136" spans="1:35" ht="15" x14ac:dyDescent="0.25">
      <c r="A136" s="15" t="str">
        <f>IFERROR(RIGHT(IF(VLOOKUP(B136,Patterns!H:I,2,0)="NO_PATTERN","",VLOOKUP(B136,Patterns!H:I,2,0)),LEN(IF(VLOOKUP(B136,Patterns!H:I,2,0)="NO_PATTERN","",VLOOKUP(B136,Patterns!H:I,2,0)))-3),"")</f>
        <v>CLOSINGMARUBOZU_Bull</v>
      </c>
      <c r="B136" s="3" t="s">
        <v>113</v>
      </c>
      <c r="C136" s="26">
        <v>35.680000305175781</v>
      </c>
      <c r="D136" s="8">
        <v>1</v>
      </c>
      <c r="E136" s="7">
        <v>-2.2465745063677267E-2</v>
      </c>
      <c r="F136" s="9">
        <v>9.6667514384715645</v>
      </c>
      <c r="G136" s="9">
        <v>4.4166958069745998</v>
      </c>
      <c r="H136" s="8">
        <v>-84.406085439696994</v>
      </c>
      <c r="I136" s="8">
        <v>-3.7148209282887512</v>
      </c>
      <c r="J136" s="7">
        <v>-4.9279244946031357E-2</v>
      </c>
      <c r="K136" s="7">
        <v>-3.5474987494923838E-2</v>
      </c>
      <c r="L136" s="7">
        <v>-9.8618254395596155E-2</v>
      </c>
      <c r="M136" s="8">
        <v>5.0481545076029164</v>
      </c>
      <c r="N136" s="8">
        <v>32.101448622515733</v>
      </c>
      <c r="O136" s="8">
        <v>-89.071535788983198</v>
      </c>
      <c r="P136" s="8">
        <v>41.993048777510261</v>
      </c>
      <c r="Q136" s="9">
        <v>1.069674497091345</v>
      </c>
      <c r="R136" s="9">
        <v>0.64832327747794904</v>
      </c>
      <c r="S136" s="8">
        <v>-85.839332157996054</v>
      </c>
      <c r="T136" s="9">
        <v>9.6162915903424587E-2</v>
      </c>
      <c r="U136" s="8">
        <v>-35.554434595058588</v>
      </c>
      <c r="V136" s="7">
        <v>-0.11183875551952147</v>
      </c>
      <c r="W136" s="7">
        <v>-9.8260198356525594E-3</v>
      </c>
      <c r="X136" s="9">
        <v>0.25253352054975386</v>
      </c>
      <c r="Y136" s="9">
        <v>0.33712589691855083</v>
      </c>
      <c r="Z136" s="8">
        <v>19.926817004551229</v>
      </c>
      <c r="AA136" s="8">
        <v>-78.371219629516872</v>
      </c>
      <c r="AB136" s="6">
        <v>1.2421430860246931</v>
      </c>
      <c r="AC136" s="8">
        <v>29.327372370875363</v>
      </c>
      <c r="AD136" s="8">
        <v>0</v>
      </c>
      <c r="AE136" s="8">
        <v>0</v>
      </c>
      <c r="AF136" s="8">
        <v>0</v>
      </c>
      <c r="AG136" s="8">
        <v>0</v>
      </c>
      <c r="AH136" s="8">
        <v>-1</v>
      </c>
      <c r="AI136" s="8">
        <v>1</v>
      </c>
    </row>
    <row r="137" spans="1:35" ht="15" x14ac:dyDescent="0.25">
      <c r="A137" s="15" t="str">
        <f>IFERROR(RIGHT(IF(VLOOKUP(B137,Patterns!H:I,2,0)="NO_PATTERN","",VLOOKUP(B137,Patterns!H:I,2,0)),LEN(IF(VLOOKUP(B137,Patterns!H:I,2,0)="NO_PATTERN","",VLOOKUP(B137,Patterns!H:I,2,0)))-3),"")</f>
        <v>3INSIDE_Bull</v>
      </c>
      <c r="B137" s="3" t="s">
        <v>117</v>
      </c>
      <c r="C137" s="26">
        <v>21.510000228881836</v>
      </c>
      <c r="D137" s="8">
        <v>1</v>
      </c>
      <c r="E137" s="7">
        <v>-2.360419616686138E-2</v>
      </c>
      <c r="F137" s="9">
        <v>5.9473472870551625</v>
      </c>
      <c r="G137" s="9">
        <v>4.2105104652913719</v>
      </c>
      <c r="H137" s="8">
        <v>-87.147925438469997</v>
      </c>
      <c r="I137" s="8">
        <v>-72.407478255940148</v>
      </c>
      <c r="J137" s="7">
        <v>-8.0859732713504245E-2</v>
      </c>
      <c r="K137" s="7">
        <v>-0.15455940668285761</v>
      </c>
      <c r="L137" s="7">
        <v>-0.1226025832775572</v>
      </c>
      <c r="M137" s="8">
        <v>4.9622375845465569</v>
      </c>
      <c r="N137" s="8">
        <v>23.542903715881451</v>
      </c>
      <c r="O137" s="8">
        <v>-88.595062224159889</v>
      </c>
      <c r="P137" s="8">
        <v>24.819341930657004</v>
      </c>
      <c r="Q137" s="9">
        <v>0.80118325719033412</v>
      </c>
      <c r="R137" s="9">
        <v>1.097685247278767</v>
      </c>
      <c r="S137" s="8">
        <v>-85.512678209363685</v>
      </c>
      <c r="T137" s="9">
        <v>0.16374400477924525</v>
      </c>
      <c r="U137" s="8">
        <v>81.901223328627793</v>
      </c>
      <c r="V137" s="7">
        <v>-0.20404153032259445</v>
      </c>
      <c r="W137" s="7">
        <v>-2.180686516804696E-2</v>
      </c>
      <c r="X137" s="9">
        <v>0.38206637168512386</v>
      </c>
      <c r="Y137" s="9">
        <v>0.3500702263692414</v>
      </c>
      <c r="Z137" s="8">
        <v>33.296601799969601</v>
      </c>
      <c r="AA137" s="8">
        <v>84.860949581189189</v>
      </c>
      <c r="AB137" s="6">
        <v>1.0371422086443221</v>
      </c>
      <c r="AC137" s="8">
        <v>81.602622234827123</v>
      </c>
      <c r="AD137" s="8">
        <v>0</v>
      </c>
      <c r="AE137" s="8">
        <v>0</v>
      </c>
      <c r="AF137" s="8">
        <v>0</v>
      </c>
      <c r="AG137" s="8">
        <v>0</v>
      </c>
      <c r="AH137" s="8">
        <v>0</v>
      </c>
      <c r="AI137" s="8">
        <v>0</v>
      </c>
    </row>
    <row r="138" spans="1:35" ht="15" x14ac:dyDescent="0.25">
      <c r="A138" s="15" t="str">
        <f>IFERROR(RIGHT(IF(VLOOKUP(B138,Patterns!H:I,2,0)="NO_PATTERN","",VLOOKUP(B138,Patterns!H:I,2,0)),LEN(IF(VLOOKUP(B138,Patterns!H:I,2,0)="NO_PATTERN","",VLOOKUP(B138,Patterns!H:I,2,0)))-3),"")</f>
        <v>BELTHOLD_Bear</v>
      </c>
      <c r="B138" s="3" t="s">
        <v>159</v>
      </c>
      <c r="C138" s="26">
        <v>19.5</v>
      </c>
      <c r="D138" s="8">
        <v>-1</v>
      </c>
      <c r="E138" s="7">
        <v>-2.5974048245439363E-2</v>
      </c>
      <c r="F138" s="9">
        <v>4.4666785346438971</v>
      </c>
      <c r="G138" s="9">
        <v>0.80000762941393389</v>
      </c>
      <c r="H138" s="8">
        <v>-86.083939131081323</v>
      </c>
      <c r="I138" s="8">
        <v>-71.445630669432148</v>
      </c>
      <c r="J138" s="7">
        <v>-5.761747710699712E-2</v>
      </c>
      <c r="K138" s="7">
        <v>-0.15385157545653691</v>
      </c>
      <c r="L138" s="7">
        <v>-0.25373341340199829</v>
      </c>
      <c r="M138" s="8">
        <v>4.7191170105029983</v>
      </c>
      <c r="N138" s="8">
        <v>15.615532918861106</v>
      </c>
      <c r="O138" s="8">
        <v>-88.326837186520876</v>
      </c>
      <c r="P138" s="8">
        <v>13.605231253453757</v>
      </c>
      <c r="Q138" s="9">
        <v>1.262299597818302</v>
      </c>
      <c r="R138" s="9">
        <v>0.87945972913224368</v>
      </c>
      <c r="S138" s="8">
        <v>-86.391493447248948</v>
      </c>
      <c r="T138" s="9">
        <v>0.16359643804509613</v>
      </c>
      <c r="U138" s="8">
        <v>-52.91370993323229</v>
      </c>
      <c r="V138" s="7">
        <v>-0.18592823474696418</v>
      </c>
      <c r="W138" s="7">
        <v>-6.584590460868265E-3</v>
      </c>
      <c r="X138" s="9">
        <v>0.23293050503314686</v>
      </c>
      <c r="Y138" s="9">
        <v>0.2692622963726084</v>
      </c>
      <c r="Z138" s="8">
        <v>36.663061304043879</v>
      </c>
      <c r="AA138" s="8">
        <v>85.315175857763563</v>
      </c>
      <c r="AB138" s="6">
        <v>0.67500019073486328</v>
      </c>
      <c r="AC138" s="8">
        <v>81.954044633415137</v>
      </c>
      <c r="AD138" s="8">
        <v>0</v>
      </c>
      <c r="AE138" s="8">
        <v>0</v>
      </c>
      <c r="AF138" s="8">
        <v>0</v>
      </c>
      <c r="AG138" s="8">
        <v>0</v>
      </c>
      <c r="AH138" s="8">
        <v>0</v>
      </c>
      <c r="AI138" s="8">
        <v>0</v>
      </c>
    </row>
    <row r="139" spans="1:35" ht="15" x14ac:dyDescent="0.25">
      <c r="A139" s="15" t="str">
        <f>IFERROR(RIGHT(IF(VLOOKUP(B139,Patterns!H:I,2,0)="NO_PATTERN","",VLOOKUP(B139,Patterns!H:I,2,0)),LEN(IF(VLOOKUP(B139,Patterns!H:I,2,0)="NO_PATTERN","",VLOOKUP(B139,Patterns!H:I,2,0)))-3),"")</f>
        <v>HARAMI_Bull</v>
      </c>
      <c r="B139" s="3" t="s">
        <v>111</v>
      </c>
      <c r="C139" s="26">
        <v>17.079999923706055</v>
      </c>
      <c r="D139" s="8">
        <v>1</v>
      </c>
      <c r="E139" s="7">
        <v>-4.1526362726767907E-2</v>
      </c>
      <c r="F139" s="9">
        <v>2.1025666105872687</v>
      </c>
      <c r="G139" s="9">
        <v>0.74359325482217609</v>
      </c>
      <c r="H139" s="8">
        <v>-84.228249316447702</v>
      </c>
      <c r="I139" s="8">
        <v>-71.036204923801222</v>
      </c>
      <c r="J139" s="7">
        <v>-0.10309932862279104</v>
      </c>
      <c r="K139" s="7">
        <v>-0.174652007202341</v>
      </c>
      <c r="L139" s="7">
        <v>-0.26566127382727139</v>
      </c>
      <c r="M139" s="8">
        <v>4.5552914129013971</v>
      </c>
      <c r="N139" s="8">
        <v>23.883361787869887</v>
      </c>
      <c r="O139" s="8">
        <v>-88.29321382440007</v>
      </c>
      <c r="P139" s="8">
        <v>9.4242388906393781</v>
      </c>
      <c r="Q139" s="9">
        <v>1.2879753040487887</v>
      </c>
      <c r="R139" s="9">
        <v>1.6963224452686112</v>
      </c>
      <c r="S139" s="8">
        <v>-87.078783168036026</v>
      </c>
      <c r="T139" s="9">
        <v>0.25190230286852278</v>
      </c>
      <c r="U139" s="8">
        <v>80.346856348013731</v>
      </c>
      <c r="V139" s="7">
        <v>-0.32506914628960615</v>
      </c>
      <c r="W139" s="7">
        <v>-2.8619367819916013E-2</v>
      </c>
      <c r="X139" s="9">
        <v>0.47356711740042873</v>
      </c>
      <c r="Y139" s="9">
        <v>0.52706055070757019</v>
      </c>
      <c r="Z139" s="8">
        <v>17.954340540820631</v>
      </c>
      <c r="AA139" s="8">
        <v>84.160547749149771</v>
      </c>
      <c r="AB139" s="6">
        <v>0.94785703931535992</v>
      </c>
      <c r="AC139" s="8">
        <v>77.87280932025034</v>
      </c>
      <c r="AD139" s="8">
        <v>0</v>
      </c>
      <c r="AE139" s="8">
        <v>0</v>
      </c>
      <c r="AF139" s="8">
        <v>0</v>
      </c>
      <c r="AG139" s="8">
        <v>0</v>
      </c>
      <c r="AH139" s="8">
        <v>0</v>
      </c>
      <c r="AI139" s="8">
        <v>0</v>
      </c>
    </row>
    <row r="140" spans="1:35" ht="15" x14ac:dyDescent="0.25">
      <c r="A140" s="15" t="str">
        <f>IFERROR(RIGHT(IF(VLOOKUP(B140,Patterns!H:I,2,0)="NO_PATTERN","",VLOOKUP(B140,Patterns!H:I,2,0)),LEN(IF(VLOOKUP(B140,Patterns!H:I,2,0)="NO_PATTERN","",VLOOKUP(B140,Patterns!H:I,2,0)))-3),"")</f>
        <v>SPINNINGTOP_Bear</v>
      </c>
      <c r="B140" s="3" t="s">
        <v>227</v>
      </c>
      <c r="C140" s="26">
        <v>22.819999694824219</v>
      </c>
      <c r="D140" s="8">
        <v>-1</v>
      </c>
      <c r="E140" s="7">
        <v>-5.8969084749516787E-2</v>
      </c>
      <c r="F140" s="9">
        <v>0.18644004784534315</v>
      </c>
      <c r="G140" s="9">
        <v>9.3220832121035782E-2</v>
      </c>
      <c r="H140" s="8">
        <v>-86.862747404388884</v>
      </c>
      <c r="I140" s="8">
        <v>-47.159498599947888</v>
      </c>
      <c r="J140" s="7">
        <v>-0.10572788888338398</v>
      </c>
      <c r="K140" s="7">
        <v>-0.17768750759739449</v>
      </c>
      <c r="L140" s="7">
        <v>-0.2792592693424264</v>
      </c>
      <c r="M140" s="8">
        <v>4.2289376859540511</v>
      </c>
      <c r="N140" s="8">
        <v>23.407977978857133</v>
      </c>
      <c r="O140" s="8">
        <v>-88.925752219867434</v>
      </c>
      <c r="P140" s="8">
        <v>40.706925715019715</v>
      </c>
      <c r="Q140" s="9">
        <v>0.80583180729680248</v>
      </c>
      <c r="R140" s="9">
        <v>0.17538329510009398</v>
      </c>
      <c r="S140" s="8">
        <v>-87.21492034341324</v>
      </c>
      <c r="T140" s="9">
        <v>0.16694341627019085</v>
      </c>
      <c r="U140" s="8">
        <v>69.833903364819804</v>
      </c>
      <c r="V140" s="7">
        <v>-0.2282590666970494</v>
      </c>
      <c r="W140" s="7">
        <v>-3.9006534194673724E-2</v>
      </c>
      <c r="X140" s="9">
        <v>0.44586787836703295</v>
      </c>
      <c r="Y140" s="9">
        <v>0.38755464124192418</v>
      </c>
      <c r="Z140" s="8">
        <v>20.942161667563173</v>
      </c>
      <c r="AA140" s="8">
        <v>82.602470729824887</v>
      </c>
      <c r="AB140" s="6">
        <v>1.0949999945504325</v>
      </c>
      <c r="AC140" s="8">
        <v>83.584138203749333</v>
      </c>
      <c r="AD140" s="8">
        <v>0</v>
      </c>
      <c r="AE140" s="8">
        <v>0</v>
      </c>
      <c r="AF140" s="8">
        <v>0</v>
      </c>
      <c r="AG140" s="8">
        <v>0</v>
      </c>
      <c r="AH140" s="8">
        <v>0</v>
      </c>
      <c r="AI140" s="8">
        <v>0</v>
      </c>
    </row>
    <row r="141" spans="1:35" ht="15" x14ac:dyDescent="0.25">
      <c r="A141" s="15" t="str">
        <f>IFERROR(RIGHT(IF(VLOOKUP(B141,Patterns!H:I,2,0)="NO_PATTERN","",VLOOKUP(B141,Patterns!H:I,2,0)),LEN(IF(VLOOKUP(B141,Patterns!H:I,2,0)="NO_PATTERN","",VLOOKUP(B141,Patterns!H:I,2,0)))-3),"")</f>
        <v>RICKSHAWMAN_Bull</v>
      </c>
      <c r="B141" s="3" t="s">
        <v>166</v>
      </c>
      <c r="C141" s="26">
        <v>10.819999694824219</v>
      </c>
      <c r="D141" s="8">
        <v>1</v>
      </c>
      <c r="E141" s="7">
        <v>-6.320350509571715E-2</v>
      </c>
      <c r="F141" s="9">
        <v>0.87930921085084202</v>
      </c>
      <c r="G141" s="9">
        <v>0.10344901294695268</v>
      </c>
      <c r="H141" s="8">
        <v>-85.973319249516081</v>
      </c>
      <c r="I141" s="8">
        <v>-67.841919173980529</v>
      </c>
      <c r="J141" s="7">
        <v>-0.12734760724646987</v>
      </c>
      <c r="K141" s="7">
        <v>-0.2538989568437337</v>
      </c>
      <c r="L141" s="7">
        <v>-0.46119349930932135</v>
      </c>
      <c r="M141" s="8">
        <v>4.2258292866576852</v>
      </c>
      <c r="N141" s="8">
        <v>20.568569600939895</v>
      </c>
      <c r="O141" s="8">
        <v>-88.507410854061106</v>
      </c>
      <c r="P141" s="8">
        <v>14.387925167450506</v>
      </c>
      <c r="Q141" s="9">
        <v>2.7835202123925229</v>
      </c>
      <c r="R141" s="9">
        <v>3.4436151633340231</v>
      </c>
      <c r="S141" s="8">
        <v>-86.786752925053193</v>
      </c>
      <c r="T141" s="9">
        <v>0.23397151952070003</v>
      </c>
      <c r="U141" s="8">
        <v>81.123400402640016</v>
      </c>
      <c r="V141" s="7">
        <v>-0.32876918939994182</v>
      </c>
      <c r="W141" s="7">
        <v>-5.0436056126250177E-2</v>
      </c>
      <c r="X141" s="9">
        <v>0.45721774217318933</v>
      </c>
      <c r="Y141" s="9">
        <v>0.38529938994717428</v>
      </c>
      <c r="Z141" s="8">
        <v>31.079661165669854</v>
      </c>
      <c r="AA141" s="8">
        <v>86.187030562276718</v>
      </c>
      <c r="AB141" s="6">
        <v>0.55928564071655273</v>
      </c>
      <c r="AC141" s="8">
        <v>71.433885636510595</v>
      </c>
      <c r="AD141" s="8">
        <v>0</v>
      </c>
      <c r="AE141" s="8">
        <v>0</v>
      </c>
      <c r="AF141" s="8">
        <v>0</v>
      </c>
      <c r="AG141" s="8">
        <v>0</v>
      </c>
      <c r="AH141" s="8">
        <v>0</v>
      </c>
      <c r="AI141" s="8">
        <v>0</v>
      </c>
    </row>
    <row r="142" spans="1:35" ht="15" x14ac:dyDescent="0.25">
      <c r="A142" s="15" t="str">
        <f>IFERROR(RIGHT(IF(VLOOKUP(B142,Patterns!H:I,2,0)="NO_PATTERN","",VLOOKUP(B142,Patterns!H:I,2,0)),LEN(IF(VLOOKUP(B142,Patterns!H:I,2,0)="NO_PATTERN","",VLOOKUP(B142,Patterns!H:I,2,0)))-3),"")</f>
        <v>3INSIDE_Bull</v>
      </c>
      <c r="B142" s="3" t="s">
        <v>129</v>
      </c>
      <c r="C142" s="26">
        <v>20.920000076293945</v>
      </c>
      <c r="D142" s="8">
        <v>1</v>
      </c>
      <c r="E142" s="7">
        <v>-1.7379089869533404E-2</v>
      </c>
      <c r="F142" s="9">
        <v>5.949970436208968</v>
      </c>
      <c r="G142" s="9">
        <v>1.2999961853172863</v>
      </c>
      <c r="H142" s="8">
        <v>-86.528768077274606</v>
      </c>
      <c r="I142" s="8">
        <v>-75.32224730537267</v>
      </c>
      <c r="J142" s="7">
        <v>-6.4373190008691281E-2</v>
      </c>
      <c r="K142" s="7">
        <v>-0.10459160692007174</v>
      </c>
      <c r="L142" s="7">
        <v>-7.6148614503074016E-2</v>
      </c>
      <c r="M142" s="8">
        <v>3.8525017321932893</v>
      </c>
      <c r="N142" s="8">
        <v>24.680245591643683</v>
      </c>
      <c r="O142" s="8">
        <v>-88.738680004281122</v>
      </c>
      <c r="P142" s="8">
        <v>21.281739024079343</v>
      </c>
      <c r="Q142" s="9">
        <v>1.1631489432385682</v>
      </c>
      <c r="R142" s="9">
        <v>1.3720351194386402</v>
      </c>
      <c r="S142" s="8">
        <v>-86.995823115168804</v>
      </c>
      <c r="T142" s="9">
        <v>0.12997399672946544</v>
      </c>
      <c r="U142" s="8">
        <v>85.278556084069081</v>
      </c>
      <c r="V142" s="7">
        <v>-0.16850760825499869</v>
      </c>
      <c r="W142" s="7">
        <v>-2.5899666292427539E-2</v>
      </c>
      <c r="X142" s="9">
        <v>0.30132879477097685</v>
      </c>
      <c r="Y142" s="9">
        <v>0.37069163532735899</v>
      </c>
      <c r="Z142" s="8">
        <v>21.774700923344348</v>
      </c>
      <c r="AA142" s="8">
        <v>87.070662325194647</v>
      </c>
      <c r="AB142" s="6">
        <v>0.88000011444091797</v>
      </c>
      <c r="AC142" s="8">
        <v>85.321826982235478</v>
      </c>
      <c r="AD142" s="8">
        <v>0</v>
      </c>
      <c r="AE142" s="8">
        <v>0</v>
      </c>
      <c r="AF142" s="8">
        <v>0</v>
      </c>
      <c r="AG142" s="8">
        <v>0</v>
      </c>
      <c r="AH142" s="8">
        <v>0</v>
      </c>
      <c r="AI142" s="8">
        <v>0</v>
      </c>
    </row>
    <row r="143" spans="1:35" ht="15" x14ac:dyDescent="0.25">
      <c r="A143" s="15" t="str">
        <f>IFERROR(RIGHT(IF(VLOOKUP(B143,Patterns!H:I,2,0)="NO_PATTERN","",VLOOKUP(B143,Patterns!H:I,2,0)),LEN(IF(VLOOKUP(B143,Patterns!H:I,2,0)="NO_PATTERN","",VLOOKUP(B143,Patterns!H:I,2,0)))-3),"")</f>
        <v/>
      </c>
      <c r="B143" s="3" t="s">
        <v>99</v>
      </c>
      <c r="C143" s="26">
        <v>29.190000534057617</v>
      </c>
      <c r="D143" s="8">
        <v>0</v>
      </c>
      <c r="E143" s="7">
        <v>-1.6840686797106819E-2</v>
      </c>
      <c r="F143" s="9">
        <v>25.37503278258589</v>
      </c>
      <c r="G143" s="9">
        <v>4.8749970197649191</v>
      </c>
      <c r="H143" s="8">
        <v>-84.179118912945228</v>
      </c>
      <c r="I143" s="8">
        <v>-78.264353113865738</v>
      </c>
      <c r="J143" s="7">
        <v>-0.10230545868517701</v>
      </c>
      <c r="K143" s="7">
        <v>-0.229540734446912</v>
      </c>
      <c r="L143" s="7">
        <v>-0.29009964387857262</v>
      </c>
      <c r="M143" s="8">
        <v>3.7224465878110493</v>
      </c>
      <c r="N143" s="8">
        <v>21.187969058429871</v>
      </c>
      <c r="O143" s="8">
        <v>-87.466001442305384</v>
      </c>
      <c r="P143" s="8">
        <v>5.0376249420630597</v>
      </c>
      <c r="Q143" s="9">
        <v>0.69212361109491782</v>
      </c>
      <c r="R143" s="9">
        <v>1.331401432389792</v>
      </c>
      <c r="S143" s="8">
        <v>-84.270766245984504</v>
      </c>
      <c r="T143" s="9">
        <v>0.32234169203714103</v>
      </c>
      <c r="U143" s="8">
        <v>84.125855571501006</v>
      </c>
      <c r="V143" s="7">
        <v>-0.39491661952049634</v>
      </c>
      <c r="W143" s="7">
        <v>-7.6869668568136556E-3</v>
      </c>
      <c r="X143" s="9">
        <v>0.54286157062407581</v>
      </c>
      <c r="Y143" s="9">
        <v>0.51997676448253061</v>
      </c>
      <c r="Z143" s="8">
        <v>22.077982780726334</v>
      </c>
      <c r="AA143" s="8">
        <v>87.309436975659551</v>
      </c>
      <c r="AB143" s="6">
        <v>1.5342860903058733</v>
      </c>
      <c r="AC143" s="8">
        <v>70.925854346763117</v>
      </c>
      <c r="AD143" s="8">
        <v>0</v>
      </c>
      <c r="AE143" s="8">
        <v>0</v>
      </c>
      <c r="AF143" s="8">
        <v>0</v>
      </c>
      <c r="AG143" s="8">
        <v>0</v>
      </c>
      <c r="AH143" s="8">
        <v>0</v>
      </c>
      <c r="AI143" s="8">
        <v>0</v>
      </c>
    </row>
    <row r="144" spans="1:35" ht="15" x14ac:dyDescent="0.25">
      <c r="A144" s="15" t="str">
        <f>IFERROR(RIGHT(IF(VLOOKUP(B144,Patterns!H:I,2,0)="NO_PATTERN","",VLOOKUP(B144,Patterns!H:I,2,0)),LEN(IF(VLOOKUP(B144,Patterns!H:I,2,0)="NO_PATTERN","",VLOOKUP(B144,Patterns!H:I,2,0)))-3),"")</f>
        <v/>
      </c>
      <c r="B144" s="3" t="s">
        <v>153</v>
      </c>
      <c r="C144" s="26">
        <v>14</v>
      </c>
      <c r="D144" s="8">
        <v>0</v>
      </c>
      <c r="E144" s="7">
        <v>-4.1095915465265698E-2</v>
      </c>
      <c r="F144" s="9">
        <v>7.3999694825382898</v>
      </c>
      <c r="G144" s="9">
        <v>1.7999866486105018</v>
      </c>
      <c r="H144" s="8">
        <v>-84.509361473727893</v>
      </c>
      <c r="I144" s="8">
        <v>-67.001347439868184</v>
      </c>
      <c r="J144" s="7">
        <v>-6.0539261402988993E-2</v>
      </c>
      <c r="K144" s="7">
        <v>-0.13099657894674291</v>
      </c>
      <c r="L144" s="7">
        <v>-0.1320595066937845</v>
      </c>
      <c r="M144" s="8">
        <v>3.6597515909973879</v>
      </c>
      <c r="N144" s="8">
        <v>21.887727301043654</v>
      </c>
      <c r="O144" s="8">
        <v>-87.950069341153906</v>
      </c>
      <c r="P144" s="8">
        <v>14.661664210290629</v>
      </c>
      <c r="Q144" s="9">
        <v>1.9481239519623146</v>
      </c>
      <c r="R144" s="9">
        <v>1.7498935411338072</v>
      </c>
      <c r="S144" s="8">
        <v>-85.428997788612605</v>
      </c>
      <c r="T144" s="9">
        <v>0.2019690600029834</v>
      </c>
      <c r="U144" s="8">
        <v>79.246124655085623</v>
      </c>
      <c r="V144" s="7">
        <v>-0.21768888388176574</v>
      </c>
      <c r="W144" s="7">
        <v>5.6888953258576536E-3</v>
      </c>
      <c r="X144" s="9">
        <v>0.32030616725506805</v>
      </c>
      <c r="Y144" s="9">
        <v>0.36777482154650309</v>
      </c>
      <c r="Z144" s="8">
        <v>21.897883368005559</v>
      </c>
      <c r="AA144" s="8">
        <v>85.578432479027498</v>
      </c>
      <c r="AB144" s="6">
        <v>0.6528569630214146</v>
      </c>
      <c r="AC144" s="8">
        <v>81.523743498662697</v>
      </c>
      <c r="AD144" s="8">
        <v>0</v>
      </c>
      <c r="AE144" s="8">
        <v>0</v>
      </c>
      <c r="AF144" s="8">
        <v>0</v>
      </c>
      <c r="AG144" s="8">
        <v>0</v>
      </c>
      <c r="AH144" s="8">
        <v>0</v>
      </c>
      <c r="AI144" s="8">
        <v>0</v>
      </c>
    </row>
    <row r="145" spans="1:35" ht="15" x14ac:dyDescent="0.25">
      <c r="A145" s="15" t="str">
        <f>IFERROR(RIGHT(IF(VLOOKUP(B145,Patterns!H:I,2,0)="NO_PATTERN","",VLOOKUP(B145,Patterns!H:I,2,0)),LEN(IF(VLOOKUP(B145,Patterns!H:I,2,0)="NO_PATTERN","",VLOOKUP(B145,Patterns!H:I,2,0)))-3),"")</f>
        <v>HIKKAKE_Bear</v>
      </c>
      <c r="B145" s="3" t="s">
        <v>245</v>
      </c>
      <c r="C145" s="26">
        <v>6</v>
      </c>
      <c r="D145" s="8">
        <v>-1</v>
      </c>
      <c r="E145" s="7">
        <v>-2.7552686254755598E-2</v>
      </c>
      <c r="F145" s="9">
        <v>0.88888888888888884</v>
      </c>
      <c r="G145" s="9">
        <v>0</v>
      </c>
      <c r="H145" s="8">
        <v>-66.089703963870249</v>
      </c>
      <c r="I145" s="8">
        <v>-36.933321533288321</v>
      </c>
      <c r="J145" s="7">
        <v>-3.9819302713233785E-2</v>
      </c>
      <c r="K145" s="7">
        <v>-0.15200086060441867</v>
      </c>
      <c r="L145" s="7">
        <v>-0.48898691432102598</v>
      </c>
      <c r="M145" s="8">
        <v>3.6145203827472017</v>
      </c>
      <c r="N145" s="8">
        <v>24.91431460645407</v>
      </c>
      <c r="O145" s="8">
        <v>-85.402819067309593</v>
      </c>
      <c r="P145" s="8">
        <v>14.643294648959866</v>
      </c>
      <c r="Q145" s="9">
        <v>-8.8245144005358434E-2</v>
      </c>
      <c r="R145" s="9">
        <v>0.1255290451606903</v>
      </c>
      <c r="S145" s="8">
        <v>-74.049957214554965</v>
      </c>
      <c r="T145" s="9">
        <v>8.9858841145106214E-2</v>
      </c>
      <c r="U145" s="8">
        <v>82.242114259082925</v>
      </c>
      <c r="V145" s="7">
        <v>-0.10971505345066553</v>
      </c>
      <c r="W145" s="7">
        <v>-1.4284963397580785E-2</v>
      </c>
      <c r="X145" s="9">
        <v>0.23753436654817126</v>
      </c>
      <c r="Y145" s="9">
        <v>0.33405871922160035</v>
      </c>
      <c r="Z145" s="8">
        <v>29.069944660198665</v>
      </c>
      <c r="AA145" s="8">
        <v>-28.503084809892151</v>
      </c>
      <c r="AB145" s="6">
        <v>0.19714273725237166</v>
      </c>
      <c r="AC145" s="8">
        <v>-49.700725003993391</v>
      </c>
      <c r="AD145" s="8">
        <v>0</v>
      </c>
      <c r="AE145" s="8">
        <v>0</v>
      </c>
      <c r="AF145" s="8">
        <v>0</v>
      </c>
      <c r="AG145" s="8">
        <v>0</v>
      </c>
      <c r="AH145" s="8">
        <v>0</v>
      </c>
      <c r="AI145" s="8">
        <v>0</v>
      </c>
    </row>
    <row r="146" spans="1:35" ht="15" x14ac:dyDescent="0.25">
      <c r="A146" s="15" t="str">
        <f>IF(VLOOKUP(B146,Patterns!H:I,2,0)="NO_PATTERN","",VLOOKUP(B146,Patterns!H:I,2,0))</f>
        <v>CDLHIGHWAVE_Bear</v>
      </c>
      <c r="B146" s="3" t="s">
        <v>226</v>
      </c>
      <c r="C146" s="26">
        <v>12.939999580383301</v>
      </c>
      <c r="D146" s="8">
        <v>-1</v>
      </c>
      <c r="E146" s="7">
        <v>-3.432836203300027E-2</v>
      </c>
      <c r="F146" s="9">
        <v>2.749983608804754</v>
      </c>
      <c r="G146" s="9">
        <v>1.4374899417665536</v>
      </c>
      <c r="H146" s="8">
        <v>-86.124730676816796</v>
      </c>
      <c r="I146" s="8">
        <v>-78.47525051560244</v>
      </c>
      <c r="J146" s="7">
        <v>-0.12293483382907411</v>
      </c>
      <c r="K146" s="7">
        <v>-0.35230884412236663</v>
      </c>
      <c r="L146" s="7">
        <v>-0.42149437503218184</v>
      </c>
      <c r="M146" s="8">
        <v>3.3834791819666492</v>
      </c>
      <c r="N146" s="8">
        <v>15.701682623427047</v>
      </c>
      <c r="O146" s="8">
        <v>-86.246583872194279</v>
      </c>
      <c r="P146" s="8">
        <v>9.5418193665842441</v>
      </c>
      <c r="Q146" s="9">
        <v>0.67636378888835647</v>
      </c>
      <c r="R146" s="9">
        <v>1.3684395994567486</v>
      </c>
      <c r="S146" s="8">
        <v>-86.134727420330265</v>
      </c>
      <c r="T146" s="9">
        <v>0.29886814871097656</v>
      </c>
      <c r="U146" s="8">
        <v>85.742698440403927</v>
      </c>
      <c r="V146" s="7">
        <v>-0.39433284866302154</v>
      </c>
      <c r="W146" s="7">
        <v>-3.1787761072431343E-2</v>
      </c>
      <c r="X146" s="9">
        <v>0.42002429292405169</v>
      </c>
      <c r="Y146" s="9">
        <v>0.39720470358770521</v>
      </c>
      <c r="Z146" s="8">
        <v>51.209912797073407</v>
      </c>
      <c r="AA146" s="8">
        <v>84.012454746036383</v>
      </c>
      <c r="AB146" s="6">
        <v>0.76714290891374859</v>
      </c>
      <c r="AC146" s="8">
        <v>83.396447175288728</v>
      </c>
      <c r="AD146" s="8">
        <v>0</v>
      </c>
      <c r="AE146" s="8">
        <v>0</v>
      </c>
      <c r="AF146" s="8">
        <v>0</v>
      </c>
      <c r="AG146" s="8">
        <v>0</v>
      </c>
      <c r="AH146" s="8">
        <v>0</v>
      </c>
      <c r="AI146" s="8">
        <v>0</v>
      </c>
    </row>
    <row r="147" spans="1:35" ht="15" x14ac:dyDescent="0.25">
      <c r="A147" s="15" t="str">
        <f>IFERROR(RIGHT(IF(VLOOKUP(B147,Patterns!H:I,2,0)="NO_PATTERN","",VLOOKUP(B147,Patterns!H:I,2,0)),LEN(IF(VLOOKUP(B147,Patterns!H:I,2,0)="NO_PATTERN","",VLOOKUP(B147,Patterns!H:I,2,0)))-3),"")</f>
        <v/>
      </c>
      <c r="B147" s="3" t="s">
        <v>190</v>
      </c>
      <c r="C147" s="26">
        <v>16.350000381469727</v>
      </c>
      <c r="D147" s="8">
        <v>0</v>
      </c>
      <c r="E147" s="7">
        <v>-4.4418480524310189E-2</v>
      </c>
      <c r="F147" s="9">
        <v>1.4920663273801775</v>
      </c>
      <c r="G147" s="9">
        <v>4.7620200968207786E-2</v>
      </c>
      <c r="H147" s="8">
        <v>-86.512494533979918</v>
      </c>
      <c r="I147" s="8">
        <v>-78.756770806533453</v>
      </c>
      <c r="J147" s="7">
        <v>-0.11485783494746253</v>
      </c>
      <c r="K147" s="7">
        <v>-0.30765435438904448</v>
      </c>
      <c r="L147" s="7">
        <v>-0.39941358813786915</v>
      </c>
      <c r="M147" s="8">
        <v>3.0716863679257216</v>
      </c>
      <c r="N147" s="8">
        <v>21.732922461926847</v>
      </c>
      <c r="O147" s="8">
        <v>-87.900383018001094</v>
      </c>
      <c r="P147" s="8">
        <v>7.8821523783402263</v>
      </c>
      <c r="Q147" s="9">
        <v>0.7108190858559873</v>
      </c>
      <c r="R147" s="9">
        <v>0.62835477426510167</v>
      </c>
      <c r="S147" s="8">
        <v>-88.191561855891933</v>
      </c>
      <c r="T147" s="9">
        <v>0.33661183519723198</v>
      </c>
      <c r="U147" s="8">
        <v>83.798040943102265</v>
      </c>
      <c r="V147" s="7">
        <v>-0.40914840446244155</v>
      </c>
      <c r="W147" s="7">
        <v>-3.1451279693090585E-3</v>
      </c>
      <c r="X147" s="9">
        <v>0.54009162144998124</v>
      </c>
      <c r="Y147" s="9">
        <v>0.43984096424902647</v>
      </c>
      <c r="Z147" s="8">
        <v>31.408510148167583</v>
      </c>
      <c r="AA147" s="8">
        <v>86.825662576201054</v>
      </c>
      <c r="AB147" s="6">
        <v>1.0964285986764091</v>
      </c>
      <c r="AC147" s="8">
        <v>65.01499364608911</v>
      </c>
      <c r="AD147" s="8">
        <v>0</v>
      </c>
      <c r="AE147" s="8">
        <v>0</v>
      </c>
      <c r="AF147" s="8">
        <v>0</v>
      </c>
      <c r="AG147" s="8">
        <v>0</v>
      </c>
      <c r="AH147" s="8">
        <v>0</v>
      </c>
      <c r="AI147" s="8">
        <v>0</v>
      </c>
    </row>
    <row r="148" spans="1:35" ht="15" x14ac:dyDescent="0.25">
      <c r="A148" s="15" t="str">
        <f>IFERROR(RIGHT(IF(VLOOKUP(B148,Patterns!H:I,2,0)="NO_PATTERN","",VLOOKUP(B148,Patterns!H:I,2,0)),LEN(IF(VLOOKUP(B148,Patterns!H:I,2,0)="NO_PATTERN","",VLOOKUP(B148,Patterns!H:I,2,0)))-3),"")</f>
        <v>RICKSHAWMAN_Bull</v>
      </c>
      <c r="B148" s="3" t="s">
        <v>219</v>
      </c>
      <c r="C148" s="26">
        <v>0.68000000715255737</v>
      </c>
      <c r="D148" s="8">
        <v>1</v>
      </c>
      <c r="E148" s="7">
        <v>-2.8571401810159047E-2</v>
      </c>
      <c r="F148" s="9">
        <v>1</v>
      </c>
      <c r="G148" s="9">
        <v>1</v>
      </c>
      <c r="H148" s="8">
        <v>-70.495393891622058</v>
      </c>
      <c r="I148" s="8">
        <v>-40.844639128902422</v>
      </c>
      <c r="J148" s="7">
        <v>-5.8555086951037102E-2</v>
      </c>
      <c r="K148" s="7">
        <v>-0.1551286112777015</v>
      </c>
      <c r="L148" s="7">
        <v>-0.38430846289730414</v>
      </c>
      <c r="M148" s="8">
        <v>2.2710787725517747</v>
      </c>
      <c r="N148" s="8">
        <v>22.947315636057596</v>
      </c>
      <c r="O148" s="8">
        <v>-87.877905968002921</v>
      </c>
      <c r="P148" s="8">
        <v>9.9927760713069258</v>
      </c>
      <c r="Q148" s="9">
        <v>0.59286313409430713</v>
      </c>
      <c r="R148" s="9">
        <v>0.38511001736703232</v>
      </c>
      <c r="S148" s="8">
        <v>-79.828571911557205</v>
      </c>
      <c r="T148" s="9">
        <v>0.15380832029443178</v>
      </c>
      <c r="U148" s="8">
        <v>69.958769687867516</v>
      </c>
      <c r="V148" s="7">
        <v>-0.18221904513023912</v>
      </c>
      <c r="W148" s="7">
        <v>-1.336917688689261E-2</v>
      </c>
      <c r="X148" s="9">
        <v>0.35284634303341483</v>
      </c>
      <c r="Y148" s="9">
        <v>0.5668009361865155</v>
      </c>
      <c r="Z148" s="8">
        <v>21.70269816327642</v>
      </c>
      <c r="AA148" s="8">
        <v>82.87883981026944</v>
      </c>
      <c r="AB148" s="6">
        <v>2.6428558996745517E-2</v>
      </c>
      <c r="AC148" s="8">
        <v>-30.608915393991701</v>
      </c>
      <c r="AD148" s="8">
        <v>0</v>
      </c>
      <c r="AE148" s="8">
        <v>0</v>
      </c>
      <c r="AF148" s="8">
        <v>0</v>
      </c>
      <c r="AG148" s="8">
        <v>0</v>
      </c>
      <c r="AH148" s="8">
        <v>0</v>
      </c>
      <c r="AI148" s="8">
        <v>0</v>
      </c>
    </row>
    <row r="149" spans="1:35" ht="15" x14ac:dyDescent="0.25">
      <c r="A149" s="15" t="str">
        <f>IFERROR(RIGHT(IF(VLOOKUP(B149,Patterns!H:I,2,0)="NO_PATTERN","",VLOOKUP(B149,Patterns!H:I,2,0)),LEN(IF(VLOOKUP(B149,Patterns!H:I,2,0)="NO_PATTERN","",VLOOKUP(B149,Patterns!H:I,2,0)))-3),"")</f>
        <v/>
      </c>
      <c r="B149" s="3" t="s">
        <v>146</v>
      </c>
      <c r="C149" s="26">
        <v>9.3000001907348633</v>
      </c>
      <c r="D149" s="8">
        <v>0</v>
      </c>
      <c r="E149" s="7">
        <v>-4.2826510920285221E-3</v>
      </c>
      <c r="F149" s="9">
        <v>5.4285091483767252</v>
      </c>
      <c r="G149" s="9">
        <v>1.714268197980954</v>
      </c>
      <c r="H149" s="8">
        <v>-86.534018136765312</v>
      </c>
      <c r="I149" s="8">
        <v>-81.508728531596034</v>
      </c>
      <c r="J149" s="7">
        <v>-7.7212050784589856E-2</v>
      </c>
      <c r="K149" s="7">
        <v>-5.3397260004743825E-2</v>
      </c>
      <c r="L149" s="7">
        <v>-4.0163153025004637E-2</v>
      </c>
      <c r="M149" s="8">
        <v>1.8255565603247987</v>
      </c>
      <c r="N149" s="8">
        <v>26.395811465499975</v>
      </c>
      <c r="O149" s="8">
        <v>-88.405613709093203</v>
      </c>
      <c r="P149" s="8">
        <v>8.7138412933702512</v>
      </c>
      <c r="Q149" s="9">
        <v>0.14115203415893318</v>
      </c>
      <c r="R149" s="9">
        <v>-9.3025891190088195E-2</v>
      </c>
      <c r="S149" s="8">
        <v>-87.074832633294221</v>
      </c>
      <c r="T149" s="9">
        <v>0.19914290828180389</v>
      </c>
      <c r="U149" s="8">
        <v>62.050136852352239</v>
      </c>
      <c r="V149" s="7">
        <v>-0.23825930674237206</v>
      </c>
      <c r="W149" s="7">
        <v>-1.3998701737535781E-2</v>
      </c>
      <c r="X149" s="9">
        <v>0.3755549629297969</v>
      </c>
      <c r="Y149" s="9">
        <v>0.37708028457191217</v>
      </c>
      <c r="Z149" s="8">
        <v>39.22083763231506</v>
      </c>
      <c r="AA149" s="8">
        <v>-86.941012569774102</v>
      </c>
      <c r="AB149" s="6">
        <v>0.40499993732997347</v>
      </c>
      <c r="AC149" s="8">
        <v>30.83189890736265</v>
      </c>
      <c r="AD149" s="8">
        <v>0</v>
      </c>
      <c r="AE149" s="8">
        <v>0</v>
      </c>
      <c r="AF149" s="8">
        <v>0</v>
      </c>
      <c r="AG149" s="8">
        <v>0</v>
      </c>
      <c r="AH149" s="8">
        <v>0</v>
      </c>
      <c r="AI149" s="8">
        <v>0</v>
      </c>
    </row>
    <row r="150" spans="1:35" ht="15" x14ac:dyDescent="0.25">
      <c r="A150" s="15" t="str">
        <f>IFERROR(RIGHT(IF(VLOOKUP(B150,Patterns!H:I,2,0)="NO_PATTERN","",VLOOKUP(B150,Patterns!H:I,2,0)),LEN(IF(VLOOKUP(B150,Patterns!H:I,2,0)="NO_PATTERN","",VLOOKUP(B150,Patterns!H:I,2,0)))-3),"")</f>
        <v>BELTHOLD_Bull</v>
      </c>
      <c r="B150" s="3" t="s">
        <v>114</v>
      </c>
      <c r="C150" s="26">
        <v>22.010000228881836</v>
      </c>
      <c r="D150" s="8">
        <v>1</v>
      </c>
      <c r="E150" s="7">
        <v>-3.4649080465520288E-2</v>
      </c>
      <c r="F150" s="9">
        <v>1.300001271568989</v>
      </c>
      <c r="G150" s="9">
        <v>0.73333926732194854</v>
      </c>
      <c r="H150" s="8">
        <v>-85.881311539707369</v>
      </c>
      <c r="I150" s="8">
        <v>-81.543654690188845</v>
      </c>
      <c r="J150" s="7">
        <v>-9.8753137783183842E-2</v>
      </c>
      <c r="K150" s="7">
        <v>-0.13229472853581234</v>
      </c>
      <c r="L150" s="7">
        <v>-0.1090870280006475</v>
      </c>
      <c r="M150" s="8">
        <v>1.274050078712861</v>
      </c>
      <c r="N150" s="8">
        <v>19.205061441260796</v>
      </c>
      <c r="O150" s="8">
        <v>-88.026910057639753</v>
      </c>
      <c r="P150" s="8">
        <v>5.8084785544079409</v>
      </c>
      <c r="Q150" s="9">
        <v>0.3242531471557859</v>
      </c>
      <c r="R150" s="9">
        <v>0.3991804414674105</v>
      </c>
      <c r="S150" s="8">
        <v>-87.070529112965389</v>
      </c>
      <c r="T150" s="9">
        <v>0.23653448759026877</v>
      </c>
      <c r="U150" s="8">
        <v>18.50088707904267</v>
      </c>
      <c r="V150" s="7">
        <v>-0.30666046422651078</v>
      </c>
      <c r="W150" s="7">
        <v>-3.0277278476234216E-2</v>
      </c>
      <c r="X150" s="9">
        <v>0.42249616952934765</v>
      </c>
      <c r="Y150" s="9">
        <v>0.38838472037907246</v>
      </c>
      <c r="Z150" s="8">
        <v>24.847902135118797</v>
      </c>
      <c r="AA150" s="8">
        <v>83.701605225996531</v>
      </c>
      <c r="AB150" s="6">
        <v>0.92357131413051063</v>
      </c>
      <c r="AC150" s="8">
        <v>74.764954258639577</v>
      </c>
      <c r="AD150" s="8">
        <v>0</v>
      </c>
      <c r="AE150" s="8">
        <v>0</v>
      </c>
      <c r="AF150" s="8">
        <v>0</v>
      </c>
      <c r="AG150" s="8">
        <v>0</v>
      </c>
      <c r="AH150" s="8">
        <v>0</v>
      </c>
      <c r="AI150" s="8">
        <v>0</v>
      </c>
    </row>
    <row r="151" spans="1:35" ht="15" hidden="1" x14ac:dyDescent="0.25">
      <c r="A151" s="15" t="str">
        <f>IFERROR(RIGHT(IF(VLOOKUP(B151,Patterns!H:I,2,0)="NO_PATTERN","",VLOOKUP(B151,Patterns!H:I,2,0)),LEN(IF(VLOOKUP(B151,Patterns!H:I,2,0)="NO_PATTERN","",VLOOKUP(B151,Patterns!H:I,2,0)))-3),"")</f>
        <v/>
      </c>
      <c r="B151" s="3" t="s">
        <v>301</v>
      </c>
      <c r="C151" s="6"/>
      <c r="D151" s="6"/>
      <c r="E151" s="7"/>
      <c r="F151" s="9"/>
      <c r="G151" s="9"/>
      <c r="H151" s="8"/>
      <c r="I151" s="8"/>
      <c r="J151" s="7"/>
      <c r="K151" s="7"/>
      <c r="L151" s="7"/>
      <c r="M151" s="8"/>
      <c r="N151" s="8"/>
      <c r="O151" s="8"/>
      <c r="P151" s="8"/>
      <c r="Q151" s="9"/>
      <c r="R151" s="9"/>
      <c r="S151" s="8"/>
      <c r="T151" s="7"/>
      <c r="U151" s="6"/>
      <c r="V151" s="7"/>
      <c r="W151" s="7"/>
      <c r="X151" s="9"/>
      <c r="Y151" s="9"/>
      <c r="Z151" s="8"/>
      <c r="AA151" s="8"/>
      <c r="AB151" s="6"/>
      <c r="AC151" s="8"/>
      <c r="AD151" s="8"/>
      <c r="AE151" s="8"/>
      <c r="AF151" s="8"/>
      <c r="AG151" s="8"/>
      <c r="AH151" s="8"/>
      <c r="AI151" s="8"/>
    </row>
    <row r="152" spans="1:35" ht="15" x14ac:dyDescent="0.25">
      <c r="A152" s="15" t="str">
        <f>IFERROR(RIGHT(IF(VLOOKUP(B152,Patterns!H:I,2,0)="NO_PATTERN","",VLOOKUP(B152,Patterns!H:I,2,0)),LEN(IF(VLOOKUP(B152,Patterns!H:I,2,0)="NO_PATTERN","",VLOOKUP(B152,Patterns!H:I,2,0)))-3),"")</f>
        <v/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</row>
    <row r="153" spans="1:35" ht="15" x14ac:dyDescent="0.25">
      <c r="A153" s="15" t="str">
        <f>IFERROR(RIGHT(IF(VLOOKUP(B153,Patterns!H:I,2,0)="NO_PATTERN","",VLOOKUP(B153,Patterns!H:I,2,0)),LEN(IF(VLOOKUP(B153,Patterns!H:I,2,0)="NO_PATTERN","",VLOOKUP(B153,Patterns!H:I,2,0)))-3),"")</f>
        <v/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</row>
    <row r="154" spans="1:35" ht="15" x14ac:dyDescent="0.25">
      <c r="A154" s="15" t="str">
        <f>IFERROR(RIGHT(IF(VLOOKUP(B154,Patterns!H:I,2,0)="NO_PATTERN","",VLOOKUP(B154,Patterns!H:I,2,0)),LEN(IF(VLOOKUP(B154,Patterns!H:I,2,0)="NO_PATTERN","",VLOOKUP(B154,Patterns!H:I,2,0)))-3),"")</f>
        <v/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</row>
    <row r="155" spans="1:35" ht="15" x14ac:dyDescent="0.25">
      <c r="A155" s="15" t="str">
        <f>IFERROR(RIGHT(IF(VLOOKUP(B155,Patterns!H:I,2,0)="NO_PATTERN","",VLOOKUP(B155,Patterns!H:I,2,0)),LEN(IF(VLOOKUP(B155,Patterns!H:I,2,0)="NO_PATTERN","",VLOOKUP(B155,Patterns!H:I,2,0)))-3),"")</f>
        <v/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</row>
    <row r="156" spans="1:35" ht="15" x14ac:dyDescent="0.25">
      <c r="A156" s="15" t="str">
        <f>IFERROR(RIGHT(IF(VLOOKUP(B156,Patterns!H:I,2,0)="NO_PATTERN","",VLOOKUP(B156,Patterns!H:I,2,0)),LEN(IF(VLOOKUP(B156,Patterns!H:I,2,0)="NO_PATTERN","",VLOOKUP(B156,Patterns!H:I,2,0)))-3),"")</f>
        <v/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</row>
    <row r="157" spans="1:35" ht="15" x14ac:dyDescent="0.25">
      <c r="A157" s="15" t="e">
        <f>IF(VLOOKUP(B157,Patterns!H:I,2,0)="NO_PATTERN","",VLOOKUP(B157,Patterns!H:I,2,0))</f>
        <v>#N/A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</row>
    <row r="158" spans="1:35" ht="15" hidden="1" x14ac:dyDescent="0.25">
      <c r="A158" s="15" t="e">
        <f>IF(VLOOKUP(B158,Patterns!H:I,2,0)="NO_PATTERN","",VLOOKUP(B158,Patterns!H:I,2,0))</f>
        <v>#N/A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</row>
    <row r="159" spans="1:35" ht="15" hidden="1" x14ac:dyDescent="0.25">
      <c r="A159" s="15" t="e">
        <f>IF(VLOOKUP(B159,Patterns!H:I,2,0)="NO_PATTERN","",VLOOKUP(B159,Patterns!H:I,2,0))</f>
        <v>#N/A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</row>
    <row r="160" spans="1:35" ht="15" hidden="1" x14ac:dyDescent="0.25">
      <c r="A160" s="15" t="e">
        <f>IF(VLOOKUP(B160,Patterns!H:I,2,0)="NO_PATTERN","",VLOOKUP(B160,Patterns!H:I,2,0))</f>
        <v>#N/A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</row>
    <row r="161" spans="1:35" ht="15" hidden="1" x14ac:dyDescent="0.25">
      <c r="A161" s="15" t="e">
        <f>IF(VLOOKUP(B161,Patterns!H:I,2,0)="NO_PATTERN","",VLOOKUP(B161,Patterns!H:I,2,0))</f>
        <v>#N/A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</row>
    <row r="162" spans="1:35" ht="14.25" customHeight="1" x14ac:dyDescent="0.25">
      <c r="B162" s="18"/>
      <c r="C162" s="19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S162" s="18"/>
      <c r="T162" s="47"/>
      <c r="U162" s="20"/>
      <c r="V162" s="18"/>
      <c r="W162" s="23"/>
      <c r="X162" s="18"/>
      <c r="Y162" s="18"/>
      <c r="Z162" s="18"/>
      <c r="AA162" s="18"/>
      <c r="AC162" s="18"/>
      <c r="AD162" s="18"/>
      <c r="AE162" s="18"/>
    </row>
    <row r="163" spans="1:35" ht="14.25" customHeight="1" x14ac:dyDescent="0.25">
      <c r="B163" s="18"/>
      <c r="C163" s="19"/>
      <c r="D163" s="20"/>
      <c r="G163" s="18"/>
      <c r="H163" s="18"/>
      <c r="I163" s="18"/>
      <c r="J163" s="18"/>
      <c r="K163" s="18"/>
      <c r="L163" s="18"/>
      <c r="M163" s="18"/>
      <c r="N163" s="18"/>
      <c r="O163" s="18"/>
      <c r="S163" s="18"/>
      <c r="T163" s="47"/>
      <c r="U163" s="20"/>
      <c r="V163" s="18"/>
      <c r="AA163" s="18"/>
    </row>
    <row r="164" spans="1:35" ht="14.25" customHeight="1" x14ac:dyDescent="0.25">
      <c r="B164" s="18"/>
      <c r="C164" s="19"/>
      <c r="D164" s="20"/>
      <c r="G164" s="18"/>
      <c r="H164" s="18"/>
      <c r="I164" s="18"/>
      <c r="J164" s="18"/>
      <c r="K164" s="18"/>
      <c r="L164" s="18"/>
      <c r="M164" s="18"/>
      <c r="N164" s="18"/>
      <c r="O164" s="18"/>
      <c r="S164" s="18"/>
      <c r="T164" s="47"/>
      <c r="U164" s="20"/>
      <c r="V164" s="18"/>
      <c r="AA164" s="18"/>
    </row>
    <row r="165" spans="1:35" ht="14.25" customHeight="1" x14ac:dyDescent="0.25">
      <c r="B165" s="18"/>
      <c r="C165" s="19"/>
      <c r="D165" s="20"/>
      <c r="G165" s="18"/>
      <c r="H165" s="18"/>
      <c r="I165" s="18"/>
      <c r="J165" s="18"/>
      <c r="K165" s="18"/>
      <c r="L165" s="18"/>
      <c r="M165" s="18"/>
      <c r="N165" s="18"/>
      <c r="O165" s="18"/>
      <c r="S165" s="18"/>
      <c r="T165" s="47"/>
      <c r="U165" s="20"/>
      <c r="V165" s="18"/>
      <c r="AA165" s="18"/>
    </row>
    <row r="166" spans="1:35" ht="14.25" customHeight="1" x14ac:dyDescent="0.25">
      <c r="B166" s="18"/>
      <c r="C166" s="19"/>
      <c r="D166" s="20"/>
      <c r="G166" s="18"/>
      <c r="H166" s="18"/>
      <c r="I166" s="18"/>
      <c r="J166" s="18"/>
      <c r="K166" s="18"/>
      <c r="L166" s="18"/>
      <c r="M166" s="18"/>
      <c r="N166" s="18"/>
      <c r="O166" s="18"/>
      <c r="S166" s="18"/>
      <c r="T166" s="47"/>
      <c r="U166" s="20"/>
      <c r="V166" s="18"/>
      <c r="AA166" s="18"/>
    </row>
    <row r="167" spans="1:35" ht="14.25" customHeight="1" x14ac:dyDescent="0.25">
      <c r="B167" s="18"/>
      <c r="C167" s="19"/>
      <c r="D167" s="20"/>
      <c r="G167" s="18"/>
      <c r="H167" s="18"/>
      <c r="I167" s="18"/>
      <c r="J167" s="18"/>
      <c r="K167" s="18"/>
      <c r="L167" s="18"/>
      <c r="M167" s="18"/>
      <c r="N167" s="18"/>
      <c r="O167" s="18"/>
      <c r="S167" s="18"/>
      <c r="T167" s="47"/>
      <c r="U167" s="20"/>
      <c r="V167" s="18"/>
      <c r="AA167" s="18"/>
    </row>
    <row r="168" spans="1:35" ht="14.25" customHeight="1" x14ac:dyDescent="0.25">
      <c r="B168" s="18"/>
      <c r="C168" s="19"/>
      <c r="D168" s="20"/>
      <c r="G168" s="18"/>
      <c r="H168" s="18"/>
      <c r="I168" s="18"/>
      <c r="J168" s="18"/>
      <c r="K168" s="18"/>
      <c r="L168" s="18"/>
      <c r="M168" s="18"/>
      <c r="N168" s="18"/>
      <c r="O168" s="18"/>
      <c r="S168" s="18"/>
      <c r="T168" s="47"/>
      <c r="U168" s="20"/>
      <c r="V168" s="18"/>
      <c r="AA168" s="18"/>
    </row>
    <row r="169" spans="1:35" ht="14.25" customHeight="1" x14ac:dyDescent="0.25">
      <c r="B169" s="18"/>
      <c r="C169" s="19"/>
      <c r="D169" s="20"/>
      <c r="G169" s="18"/>
      <c r="H169" s="18"/>
      <c r="I169" s="18"/>
      <c r="J169" s="18"/>
      <c r="K169" s="18"/>
      <c r="L169" s="18"/>
      <c r="M169" s="18"/>
      <c r="N169" s="18"/>
      <c r="O169" s="18"/>
      <c r="S169" s="18"/>
      <c r="T169" s="47"/>
      <c r="U169" s="20"/>
      <c r="V169" s="18"/>
      <c r="AA169" s="18"/>
    </row>
    <row r="170" spans="1:35" ht="14.25" customHeight="1" x14ac:dyDescent="0.25">
      <c r="B170" s="18"/>
      <c r="C170" s="19"/>
      <c r="D170" s="20"/>
      <c r="G170" s="18"/>
      <c r="H170" s="18"/>
      <c r="I170" s="18"/>
      <c r="J170" s="18"/>
      <c r="K170" s="18"/>
      <c r="L170" s="18"/>
      <c r="M170" s="18"/>
      <c r="N170" s="18"/>
      <c r="O170" s="18"/>
      <c r="S170" s="18"/>
      <c r="T170" s="47"/>
      <c r="U170" s="20"/>
      <c r="V170" s="18"/>
      <c r="AA170" s="18"/>
    </row>
    <row r="171" spans="1:35" ht="14.25" customHeight="1" x14ac:dyDescent="0.25">
      <c r="B171" s="18"/>
      <c r="C171" s="19"/>
      <c r="D171" s="20"/>
      <c r="G171" s="18"/>
      <c r="H171" s="18"/>
      <c r="I171" s="18"/>
      <c r="J171" s="18"/>
      <c r="K171" s="18"/>
      <c r="L171" s="18"/>
      <c r="M171" s="18"/>
      <c r="N171" s="18"/>
      <c r="O171" s="18"/>
      <c r="S171" s="18"/>
      <c r="T171" s="47"/>
      <c r="U171" s="20"/>
      <c r="V171" s="18"/>
      <c r="AA171" s="18"/>
    </row>
    <row r="172" spans="1:35" ht="14.25" customHeight="1" x14ac:dyDescent="0.25">
      <c r="B172" s="18"/>
      <c r="C172" s="19"/>
      <c r="D172" s="20"/>
      <c r="G172" s="18"/>
      <c r="H172" s="18"/>
      <c r="I172" s="18"/>
      <c r="J172" s="18"/>
      <c r="K172" s="18"/>
      <c r="L172" s="18"/>
      <c r="M172" s="18"/>
      <c r="N172" s="18"/>
      <c r="O172" s="18"/>
      <c r="S172" s="18"/>
      <c r="T172" s="47"/>
      <c r="U172" s="20"/>
      <c r="V172" s="18"/>
      <c r="AA172" s="18"/>
    </row>
    <row r="173" spans="1:35" ht="14.25" customHeight="1" x14ac:dyDescent="0.25">
      <c r="B173" s="18"/>
      <c r="C173" s="19"/>
      <c r="D173" s="20"/>
      <c r="G173" s="18"/>
      <c r="H173" s="18"/>
      <c r="I173" s="18"/>
      <c r="J173" s="18"/>
      <c r="K173" s="18"/>
      <c r="L173" s="18"/>
      <c r="M173" s="18"/>
      <c r="N173" s="18"/>
      <c r="O173" s="18"/>
      <c r="S173" s="18"/>
      <c r="T173" s="47"/>
      <c r="U173" s="20"/>
      <c r="V173" s="18"/>
      <c r="AA173" s="18"/>
    </row>
    <row r="174" spans="1:35" ht="14.25" customHeight="1" x14ac:dyDescent="0.25">
      <c r="B174" s="18"/>
      <c r="C174" s="19"/>
      <c r="D174" s="20"/>
      <c r="G174" s="18"/>
      <c r="H174" s="18"/>
      <c r="I174" s="18"/>
      <c r="J174" s="18"/>
      <c r="K174" s="18"/>
      <c r="L174" s="18"/>
      <c r="M174" s="18"/>
      <c r="N174" s="18"/>
      <c r="O174" s="18"/>
      <c r="S174" s="18"/>
      <c r="T174" s="47"/>
      <c r="U174" s="20"/>
      <c r="V174" s="18"/>
      <c r="AA174" s="18"/>
    </row>
    <row r="175" spans="1:35" ht="14.25" customHeight="1" x14ac:dyDescent="0.25">
      <c r="B175" s="18"/>
      <c r="C175" s="19"/>
      <c r="D175" s="20"/>
      <c r="G175" s="18"/>
      <c r="H175" s="18"/>
      <c r="I175" s="18"/>
      <c r="J175" s="18"/>
      <c r="K175" s="18"/>
      <c r="L175" s="18"/>
      <c r="M175" s="18"/>
      <c r="N175" s="18"/>
      <c r="O175" s="18"/>
      <c r="S175" s="18"/>
      <c r="T175" s="47"/>
      <c r="U175" s="20"/>
      <c r="V175" s="18"/>
      <c r="AA175" s="18"/>
    </row>
    <row r="176" spans="1:35" ht="14.25" customHeight="1" x14ac:dyDescent="0.25">
      <c r="B176" s="18"/>
      <c r="C176" s="19"/>
      <c r="D176" s="20"/>
      <c r="G176" s="18"/>
      <c r="H176" s="18"/>
      <c r="I176" s="18"/>
      <c r="J176" s="18"/>
      <c r="K176" s="18"/>
      <c r="L176" s="18"/>
      <c r="M176" s="18"/>
      <c r="N176" s="18"/>
      <c r="O176" s="18"/>
      <c r="S176" s="18"/>
      <c r="T176" s="47"/>
      <c r="U176" s="20"/>
      <c r="V176" s="18"/>
      <c r="AA176" s="18"/>
    </row>
    <row r="177" spans="2:27" ht="14.25" customHeight="1" x14ac:dyDescent="0.25">
      <c r="B177" s="18"/>
      <c r="C177" s="19"/>
      <c r="D177" s="20"/>
      <c r="G177" s="18"/>
      <c r="H177" s="18"/>
      <c r="I177" s="18"/>
      <c r="J177" s="18"/>
      <c r="K177" s="18"/>
      <c r="L177" s="18"/>
      <c r="M177" s="18"/>
      <c r="N177" s="18"/>
      <c r="O177" s="18"/>
      <c r="S177" s="18"/>
      <c r="T177" s="47"/>
      <c r="U177" s="20"/>
      <c r="V177" s="18"/>
      <c r="AA177" s="18"/>
    </row>
    <row r="178" spans="2:27" ht="14.25" customHeight="1" x14ac:dyDescent="0.25">
      <c r="B178" s="18"/>
      <c r="C178" s="19"/>
      <c r="D178" s="20"/>
      <c r="G178" s="18"/>
      <c r="H178" s="18"/>
      <c r="I178" s="18"/>
      <c r="J178" s="18"/>
      <c r="K178" s="18"/>
      <c r="L178" s="18"/>
      <c r="M178" s="18"/>
      <c r="N178" s="18"/>
      <c r="O178" s="18"/>
      <c r="S178" s="18"/>
      <c r="T178" s="47"/>
      <c r="U178" s="20"/>
      <c r="V178" s="18"/>
      <c r="AA178" s="18"/>
    </row>
    <row r="179" spans="2:27" ht="14.25" customHeight="1" x14ac:dyDescent="0.25">
      <c r="B179" s="18"/>
      <c r="C179" s="19"/>
      <c r="D179" s="20"/>
      <c r="G179" s="18"/>
      <c r="H179" s="18"/>
      <c r="I179" s="18"/>
      <c r="J179" s="18"/>
      <c r="K179" s="18"/>
      <c r="L179" s="18"/>
      <c r="M179" s="18"/>
      <c r="N179" s="18"/>
      <c r="O179" s="18"/>
      <c r="S179" s="18"/>
      <c r="T179" s="47"/>
      <c r="U179" s="20"/>
      <c r="V179" s="18"/>
      <c r="AA179" s="18"/>
    </row>
    <row r="180" spans="2:27" ht="14.25" customHeight="1" x14ac:dyDescent="0.25">
      <c r="B180" s="18"/>
      <c r="C180" s="19"/>
      <c r="D180" s="20"/>
      <c r="G180" s="18"/>
      <c r="H180" s="18"/>
      <c r="I180" s="18"/>
      <c r="J180" s="18"/>
      <c r="K180" s="18"/>
      <c r="L180" s="18"/>
      <c r="M180" s="18"/>
      <c r="N180" s="18"/>
      <c r="O180" s="18"/>
      <c r="S180" s="18"/>
      <c r="T180" s="47"/>
      <c r="U180" s="20"/>
      <c r="V180" s="18"/>
      <c r="AA180" s="18"/>
    </row>
    <row r="181" spans="2:27" ht="14.25" customHeight="1" x14ac:dyDescent="0.25">
      <c r="B181" s="18"/>
      <c r="C181" s="19"/>
      <c r="D181" s="20"/>
      <c r="G181" s="18"/>
      <c r="H181" s="18"/>
      <c r="I181" s="18"/>
      <c r="J181" s="18"/>
      <c r="K181" s="18"/>
      <c r="L181" s="18"/>
      <c r="M181" s="18"/>
      <c r="N181" s="18"/>
      <c r="O181" s="18"/>
      <c r="S181" s="18"/>
      <c r="T181" s="47"/>
      <c r="U181" s="20"/>
      <c r="V181" s="18"/>
      <c r="AA181" s="18"/>
    </row>
    <row r="182" spans="2:27" ht="14.25" customHeight="1" x14ac:dyDescent="0.25">
      <c r="B182" s="18"/>
      <c r="C182" s="19"/>
      <c r="D182" s="20"/>
      <c r="G182" s="18"/>
      <c r="H182" s="18"/>
      <c r="I182" s="18"/>
      <c r="J182" s="18"/>
      <c r="K182" s="18"/>
      <c r="L182" s="18"/>
      <c r="M182" s="18"/>
      <c r="N182" s="18"/>
      <c r="O182" s="18"/>
      <c r="S182" s="18"/>
      <c r="T182" s="47"/>
      <c r="U182" s="20"/>
      <c r="V182" s="18"/>
      <c r="AA182" s="18"/>
    </row>
    <row r="183" spans="2:27" ht="14.25" customHeight="1" x14ac:dyDescent="0.25">
      <c r="B183" s="18"/>
      <c r="C183" s="19"/>
      <c r="D183" s="20"/>
      <c r="G183" s="18"/>
      <c r="H183" s="18"/>
      <c r="I183" s="18"/>
      <c r="J183" s="18"/>
      <c r="K183" s="18"/>
      <c r="L183" s="18"/>
      <c r="M183" s="18"/>
      <c r="N183" s="18"/>
      <c r="O183" s="18"/>
      <c r="S183" s="18"/>
      <c r="T183" s="47"/>
      <c r="U183" s="20"/>
      <c r="V183" s="18"/>
      <c r="AA183" s="18"/>
    </row>
    <row r="184" spans="2:27" ht="14.25" customHeight="1" x14ac:dyDescent="0.25">
      <c r="B184" s="18"/>
      <c r="C184" s="19"/>
      <c r="D184" s="20"/>
      <c r="G184" s="18"/>
      <c r="H184" s="18"/>
      <c r="I184" s="18"/>
      <c r="J184" s="18"/>
      <c r="K184" s="18"/>
      <c r="L184" s="18"/>
      <c r="M184" s="18"/>
      <c r="N184" s="18"/>
      <c r="O184" s="18"/>
      <c r="S184" s="18"/>
      <c r="T184" s="47"/>
      <c r="U184" s="20"/>
      <c r="V184" s="18"/>
      <c r="AA184" s="18"/>
    </row>
    <row r="185" spans="2:27" ht="14.25" customHeight="1" x14ac:dyDescent="0.25">
      <c r="B185" s="18"/>
      <c r="C185" s="19"/>
      <c r="D185" s="20"/>
      <c r="G185" s="18"/>
      <c r="H185" s="18"/>
      <c r="I185" s="18"/>
      <c r="J185" s="18"/>
      <c r="K185" s="18"/>
      <c r="L185" s="18"/>
      <c r="M185" s="18"/>
      <c r="N185" s="18"/>
      <c r="O185" s="18"/>
      <c r="S185" s="18"/>
      <c r="T185" s="47"/>
      <c r="U185" s="20"/>
      <c r="V185" s="18"/>
      <c r="AA185" s="18"/>
    </row>
    <row r="186" spans="2:27" ht="14.25" customHeight="1" x14ac:dyDescent="0.25">
      <c r="B186" s="18"/>
      <c r="C186" s="19"/>
      <c r="D186" s="20"/>
      <c r="G186" s="18"/>
      <c r="H186" s="18"/>
      <c r="I186" s="18"/>
      <c r="J186" s="18"/>
      <c r="K186" s="18"/>
      <c r="L186" s="18"/>
      <c r="M186" s="18"/>
      <c r="N186" s="18"/>
      <c r="O186" s="18"/>
      <c r="S186" s="18"/>
      <c r="T186" s="47"/>
      <c r="U186" s="20"/>
      <c r="V186" s="18"/>
      <c r="AA186" s="18"/>
    </row>
    <row r="187" spans="2:27" ht="14.25" customHeight="1" x14ac:dyDescent="0.25">
      <c r="B187" s="18"/>
      <c r="C187" s="19"/>
      <c r="D187" s="20"/>
      <c r="G187" s="18"/>
      <c r="H187" s="18"/>
      <c r="I187" s="18"/>
      <c r="J187" s="18"/>
      <c r="K187" s="18"/>
      <c r="L187" s="18"/>
      <c r="M187" s="18"/>
      <c r="N187" s="18"/>
      <c r="O187" s="18"/>
      <c r="S187" s="18"/>
      <c r="T187" s="47"/>
      <c r="U187" s="20"/>
      <c r="V187" s="18"/>
      <c r="AA187" s="18"/>
    </row>
    <row r="188" spans="2:27" ht="14.25" customHeight="1" x14ac:dyDescent="0.25">
      <c r="B188" s="18"/>
      <c r="C188" s="19"/>
      <c r="D188" s="20"/>
      <c r="G188" s="18"/>
      <c r="H188" s="18"/>
      <c r="I188" s="18"/>
      <c r="J188" s="18"/>
      <c r="K188" s="18"/>
      <c r="L188" s="18"/>
      <c r="M188" s="18"/>
      <c r="N188" s="18"/>
      <c r="O188" s="18"/>
      <c r="S188" s="18"/>
      <c r="T188" s="47"/>
      <c r="U188" s="20"/>
      <c r="V188" s="18"/>
      <c r="AA188" s="18"/>
    </row>
    <row r="189" spans="2:27" ht="14.25" customHeight="1" x14ac:dyDescent="0.25">
      <c r="B189" s="18"/>
      <c r="C189" s="19"/>
      <c r="D189" s="20"/>
      <c r="G189" s="18"/>
      <c r="H189" s="18"/>
      <c r="I189" s="18"/>
      <c r="J189" s="18"/>
      <c r="K189" s="18"/>
      <c r="L189" s="18"/>
      <c r="M189" s="18"/>
      <c r="N189" s="18"/>
      <c r="O189" s="18"/>
      <c r="S189" s="18"/>
      <c r="T189" s="47"/>
      <c r="U189" s="20"/>
      <c r="V189" s="18"/>
      <c r="AA189" s="18"/>
    </row>
    <row r="190" spans="2:27" ht="14.25" customHeight="1" x14ac:dyDescent="0.25">
      <c r="B190" s="18"/>
      <c r="C190" s="19"/>
      <c r="D190" s="20"/>
      <c r="G190" s="18"/>
      <c r="H190" s="18"/>
      <c r="I190" s="18"/>
      <c r="J190" s="18"/>
      <c r="K190" s="18"/>
      <c r="L190" s="18"/>
      <c r="M190" s="18"/>
      <c r="N190" s="18"/>
      <c r="O190" s="18"/>
      <c r="S190" s="18"/>
      <c r="T190" s="47"/>
      <c r="U190" s="20"/>
      <c r="V190" s="18"/>
      <c r="AA190" s="18"/>
    </row>
    <row r="191" spans="2:27" ht="14.25" customHeight="1" x14ac:dyDescent="0.25">
      <c r="B191" s="18"/>
      <c r="C191" s="19"/>
      <c r="D191" s="20"/>
      <c r="G191" s="18"/>
      <c r="H191" s="18"/>
      <c r="I191" s="18"/>
      <c r="J191" s="18"/>
      <c r="K191" s="18"/>
      <c r="L191" s="18"/>
      <c r="M191" s="18"/>
      <c r="N191" s="18"/>
      <c r="O191" s="18"/>
      <c r="S191" s="18"/>
      <c r="T191" s="47"/>
      <c r="U191" s="20"/>
      <c r="V191" s="18"/>
      <c r="AA191" s="18"/>
    </row>
    <row r="192" spans="2:27" ht="14.25" customHeight="1" x14ac:dyDescent="0.25">
      <c r="B192" s="18"/>
      <c r="C192" s="19"/>
      <c r="D192" s="20"/>
      <c r="G192" s="18"/>
      <c r="H192" s="18"/>
      <c r="I192" s="18"/>
      <c r="J192" s="18"/>
      <c r="K192" s="18"/>
      <c r="L192" s="18"/>
      <c r="M192" s="18"/>
      <c r="N192" s="18"/>
      <c r="O192" s="18"/>
      <c r="S192" s="18"/>
      <c r="T192" s="47"/>
      <c r="U192" s="20"/>
      <c r="V192" s="18"/>
      <c r="AA192" s="18"/>
    </row>
    <row r="193" spans="2:27" ht="14.25" customHeight="1" x14ac:dyDescent="0.25">
      <c r="B193" s="18"/>
      <c r="C193" s="19"/>
      <c r="D193" s="20"/>
      <c r="G193" s="18"/>
      <c r="H193" s="18"/>
      <c r="I193" s="18"/>
      <c r="J193" s="18"/>
      <c r="K193" s="18"/>
      <c r="L193" s="18"/>
      <c r="M193" s="18"/>
      <c r="N193" s="18"/>
      <c r="O193" s="18"/>
      <c r="S193" s="18"/>
      <c r="T193" s="47"/>
      <c r="U193" s="20"/>
      <c r="V193" s="18"/>
      <c r="AA193" s="18"/>
    </row>
    <row r="194" spans="2:27" ht="14.25" customHeight="1" x14ac:dyDescent="0.25">
      <c r="B194" s="18"/>
      <c r="C194" s="19"/>
      <c r="D194" s="20"/>
      <c r="G194" s="18"/>
      <c r="H194" s="18"/>
      <c r="I194" s="18"/>
      <c r="J194" s="18"/>
      <c r="K194" s="18"/>
      <c r="L194" s="18"/>
      <c r="M194" s="18"/>
      <c r="N194" s="18"/>
      <c r="O194" s="18"/>
      <c r="S194" s="18"/>
      <c r="T194" s="47"/>
      <c r="U194" s="20"/>
      <c r="V194" s="18"/>
      <c r="AA194" s="18"/>
    </row>
    <row r="195" spans="2:27" ht="14.25" customHeight="1" x14ac:dyDescent="0.25">
      <c r="B195" s="18"/>
      <c r="C195" s="19"/>
      <c r="D195" s="20"/>
      <c r="G195" s="18"/>
      <c r="H195" s="18"/>
      <c r="I195" s="18"/>
      <c r="J195" s="18"/>
      <c r="K195" s="18"/>
      <c r="L195" s="18"/>
      <c r="M195" s="18"/>
      <c r="N195" s="18"/>
      <c r="O195" s="18"/>
      <c r="S195" s="18"/>
      <c r="T195" s="47"/>
      <c r="U195" s="20"/>
      <c r="V195" s="18"/>
      <c r="AA195" s="18"/>
    </row>
    <row r="196" spans="2:27" ht="14.25" customHeight="1" x14ac:dyDescent="0.25">
      <c r="B196" s="18"/>
      <c r="C196" s="19"/>
      <c r="D196" s="20"/>
      <c r="G196" s="18"/>
      <c r="H196" s="18"/>
      <c r="I196" s="18"/>
      <c r="J196" s="18"/>
      <c r="K196" s="18"/>
      <c r="L196" s="18"/>
      <c r="M196" s="18"/>
      <c r="N196" s="18"/>
      <c r="O196" s="18"/>
      <c r="S196" s="18"/>
      <c r="T196" s="47"/>
      <c r="U196" s="20"/>
      <c r="V196" s="18"/>
      <c r="AA196" s="18"/>
    </row>
    <row r="197" spans="2:27" ht="14.25" customHeight="1" x14ac:dyDescent="0.25">
      <c r="B197" s="18"/>
      <c r="C197" s="19"/>
      <c r="D197" s="20"/>
      <c r="G197" s="18"/>
      <c r="H197" s="18"/>
      <c r="I197" s="18"/>
      <c r="J197" s="18"/>
      <c r="K197" s="18"/>
      <c r="L197" s="18"/>
      <c r="M197" s="18"/>
      <c r="N197" s="18"/>
      <c r="O197" s="18"/>
      <c r="S197" s="18"/>
      <c r="T197" s="47"/>
      <c r="U197" s="20"/>
      <c r="V197" s="18"/>
      <c r="AA197" s="18"/>
    </row>
    <row r="198" spans="2:27" ht="14.25" customHeight="1" x14ac:dyDescent="0.25">
      <c r="B198" s="18"/>
      <c r="C198" s="19"/>
      <c r="D198" s="20"/>
      <c r="G198" s="18"/>
      <c r="H198" s="18"/>
      <c r="I198" s="18"/>
      <c r="J198" s="18"/>
      <c r="K198" s="18"/>
      <c r="L198" s="18"/>
      <c r="M198" s="18"/>
      <c r="N198" s="18"/>
      <c r="O198" s="18"/>
      <c r="S198" s="18"/>
      <c r="T198" s="47"/>
      <c r="U198" s="20"/>
      <c r="V198" s="18"/>
      <c r="AA198" s="18"/>
    </row>
    <row r="199" spans="2:27" ht="14.25" customHeight="1" x14ac:dyDescent="0.25">
      <c r="B199" s="18"/>
      <c r="C199" s="19"/>
      <c r="D199" s="20"/>
      <c r="G199" s="18"/>
      <c r="H199" s="18"/>
      <c r="I199" s="18"/>
      <c r="J199" s="18"/>
      <c r="K199" s="18"/>
      <c r="L199" s="18"/>
      <c r="M199" s="18"/>
      <c r="N199" s="18"/>
      <c r="O199" s="18"/>
      <c r="S199" s="18"/>
      <c r="T199" s="47"/>
      <c r="U199" s="20"/>
      <c r="V199" s="18"/>
      <c r="AA199" s="18"/>
    </row>
    <row r="200" spans="2:27" ht="14.25" customHeight="1" x14ac:dyDescent="0.25">
      <c r="B200" s="18"/>
      <c r="C200" s="19"/>
      <c r="D200" s="20"/>
      <c r="G200" s="18"/>
      <c r="H200" s="18"/>
      <c r="I200" s="18"/>
      <c r="J200" s="18"/>
      <c r="K200" s="18"/>
      <c r="L200" s="18"/>
      <c r="M200" s="18"/>
      <c r="N200" s="18"/>
      <c r="O200" s="18"/>
      <c r="S200" s="18"/>
      <c r="T200" s="47"/>
      <c r="U200" s="20"/>
      <c r="V200" s="18"/>
      <c r="AA200" s="18"/>
    </row>
    <row r="201" spans="2:27" ht="14.25" customHeight="1" x14ac:dyDescent="0.25">
      <c r="B201" s="18"/>
      <c r="C201" s="19"/>
      <c r="D201" s="20"/>
      <c r="G201" s="18"/>
      <c r="H201" s="18"/>
      <c r="I201" s="18"/>
      <c r="J201" s="18"/>
      <c r="K201" s="18"/>
      <c r="L201" s="18"/>
      <c r="M201" s="18"/>
      <c r="N201" s="18"/>
      <c r="O201" s="18"/>
      <c r="S201" s="18"/>
      <c r="T201" s="47"/>
      <c r="U201" s="20"/>
      <c r="V201" s="18"/>
      <c r="AA201" s="18"/>
    </row>
    <row r="202" spans="2:27" ht="14.25" customHeight="1" x14ac:dyDescent="0.25">
      <c r="B202" s="18"/>
      <c r="C202" s="19"/>
      <c r="D202" s="20"/>
      <c r="G202" s="18"/>
      <c r="H202" s="18"/>
      <c r="I202" s="18"/>
      <c r="J202" s="18"/>
      <c r="K202" s="18"/>
      <c r="L202" s="18"/>
      <c r="M202" s="18"/>
      <c r="N202" s="18"/>
      <c r="O202" s="18"/>
      <c r="S202" s="18"/>
      <c r="T202" s="47"/>
      <c r="U202" s="20"/>
      <c r="V202" s="18"/>
      <c r="AA202" s="18"/>
    </row>
    <row r="203" spans="2:27" ht="14.25" customHeight="1" x14ac:dyDescent="0.25">
      <c r="B203" s="18"/>
      <c r="C203" s="19"/>
      <c r="D203" s="20"/>
      <c r="G203" s="18"/>
      <c r="H203" s="18"/>
      <c r="I203" s="18"/>
      <c r="J203" s="18"/>
      <c r="K203" s="18"/>
      <c r="L203" s="18"/>
      <c r="M203" s="18"/>
      <c r="N203" s="18"/>
      <c r="O203" s="18"/>
      <c r="S203" s="18"/>
      <c r="T203" s="47"/>
      <c r="U203" s="20"/>
      <c r="V203" s="18"/>
      <c r="AA203" s="18"/>
    </row>
    <row r="204" spans="2:27" ht="14.25" customHeight="1" x14ac:dyDescent="0.25">
      <c r="B204" s="18"/>
      <c r="C204" s="19"/>
      <c r="D204" s="20"/>
      <c r="G204" s="18"/>
      <c r="H204" s="18"/>
      <c r="I204" s="18"/>
      <c r="J204" s="18"/>
      <c r="K204" s="18"/>
      <c r="L204" s="18"/>
      <c r="M204" s="18"/>
      <c r="N204" s="18"/>
      <c r="O204" s="18"/>
      <c r="S204" s="18"/>
      <c r="T204" s="47"/>
      <c r="U204" s="20"/>
      <c r="V204" s="18"/>
      <c r="AA204" s="18"/>
    </row>
    <row r="205" spans="2:27" ht="14.25" customHeight="1" x14ac:dyDescent="0.25">
      <c r="B205" s="18"/>
      <c r="C205" s="19"/>
      <c r="D205" s="20"/>
      <c r="G205" s="18"/>
      <c r="H205" s="18"/>
      <c r="I205" s="18"/>
      <c r="J205" s="18"/>
      <c r="K205" s="18"/>
      <c r="L205" s="18"/>
      <c r="M205" s="18"/>
      <c r="N205" s="18"/>
      <c r="O205" s="18"/>
      <c r="S205" s="18"/>
      <c r="T205" s="47"/>
      <c r="U205" s="20"/>
      <c r="V205" s="18"/>
      <c r="AA205" s="18"/>
    </row>
    <row r="206" spans="2:27" ht="14.25" customHeight="1" x14ac:dyDescent="0.25">
      <c r="B206" s="18"/>
      <c r="C206" s="19"/>
      <c r="D206" s="20"/>
      <c r="G206" s="18"/>
      <c r="H206" s="18"/>
      <c r="I206" s="18"/>
      <c r="J206" s="18"/>
      <c r="K206" s="18"/>
      <c r="L206" s="18"/>
      <c r="M206" s="18"/>
      <c r="N206" s="18"/>
      <c r="O206" s="18"/>
      <c r="S206" s="18"/>
      <c r="T206" s="47"/>
      <c r="U206" s="20"/>
      <c r="V206" s="18"/>
      <c r="AA206" s="18"/>
    </row>
    <row r="207" spans="2:27" ht="14.25" customHeight="1" x14ac:dyDescent="0.25">
      <c r="B207" s="18"/>
      <c r="C207" s="19"/>
      <c r="D207" s="20"/>
      <c r="G207" s="18"/>
      <c r="H207" s="18"/>
      <c r="I207" s="18"/>
      <c r="J207" s="18"/>
      <c r="K207" s="18"/>
      <c r="L207" s="18"/>
      <c r="M207" s="18"/>
      <c r="N207" s="18"/>
      <c r="O207" s="18"/>
      <c r="S207" s="18"/>
      <c r="T207" s="47"/>
      <c r="U207" s="20"/>
      <c r="V207" s="18"/>
      <c r="AA207" s="18"/>
    </row>
    <row r="208" spans="2:27" ht="14.25" customHeight="1" x14ac:dyDescent="0.25">
      <c r="B208" s="18"/>
      <c r="C208" s="19"/>
      <c r="D208" s="20"/>
      <c r="G208" s="18"/>
      <c r="H208" s="18"/>
      <c r="I208" s="18"/>
      <c r="J208" s="18"/>
      <c r="K208" s="18"/>
      <c r="L208" s="18"/>
      <c r="M208" s="18"/>
      <c r="N208" s="18"/>
      <c r="O208" s="18"/>
      <c r="S208" s="18"/>
      <c r="T208" s="47"/>
      <c r="U208" s="20"/>
      <c r="V208" s="18"/>
      <c r="AA208" s="18"/>
    </row>
    <row r="209" spans="2:27" ht="14.25" customHeight="1" x14ac:dyDescent="0.25">
      <c r="B209" s="18"/>
      <c r="C209" s="19"/>
      <c r="D209" s="20"/>
      <c r="G209" s="18"/>
      <c r="H209" s="18"/>
      <c r="I209" s="18"/>
      <c r="J209" s="18"/>
      <c r="K209" s="18"/>
      <c r="L209" s="18"/>
      <c r="M209" s="18"/>
      <c r="N209" s="18"/>
      <c r="O209" s="18"/>
      <c r="S209" s="18"/>
      <c r="T209" s="47"/>
      <c r="U209" s="20"/>
      <c r="V209" s="18"/>
      <c r="AA209" s="18"/>
    </row>
    <row r="210" spans="2:27" ht="14.25" customHeight="1" x14ac:dyDescent="0.25">
      <c r="B210" s="18"/>
      <c r="C210" s="19"/>
      <c r="D210" s="20"/>
      <c r="G210" s="18"/>
      <c r="H210" s="18"/>
      <c r="I210" s="18"/>
      <c r="J210" s="18"/>
      <c r="K210" s="18"/>
      <c r="L210" s="18"/>
      <c r="M210" s="18"/>
      <c r="N210" s="18"/>
      <c r="O210" s="18"/>
      <c r="S210" s="18"/>
      <c r="T210" s="47"/>
      <c r="U210" s="20"/>
      <c r="V210" s="18"/>
      <c r="AA210" s="18"/>
    </row>
    <row r="211" spans="2:27" ht="14.25" customHeight="1" x14ac:dyDescent="0.25">
      <c r="B211" s="18"/>
      <c r="C211" s="19"/>
      <c r="D211" s="20"/>
      <c r="G211" s="18"/>
      <c r="H211" s="18"/>
      <c r="I211" s="18"/>
      <c r="J211" s="18"/>
      <c r="K211" s="18"/>
      <c r="L211" s="18"/>
      <c r="M211" s="18"/>
      <c r="N211" s="18"/>
      <c r="O211" s="18"/>
      <c r="S211" s="18"/>
      <c r="T211" s="47"/>
      <c r="U211" s="20"/>
      <c r="V211" s="18"/>
      <c r="AA211" s="18"/>
    </row>
    <row r="212" spans="2:27" ht="14.25" customHeight="1" x14ac:dyDescent="0.25">
      <c r="B212" s="18"/>
      <c r="C212" s="19"/>
      <c r="D212" s="20"/>
      <c r="G212" s="18"/>
      <c r="H212" s="18"/>
      <c r="I212" s="18"/>
      <c r="J212" s="18"/>
      <c r="K212" s="18"/>
      <c r="L212" s="18"/>
      <c r="M212" s="18"/>
      <c r="N212" s="18"/>
      <c r="O212" s="18"/>
      <c r="S212" s="18"/>
      <c r="T212" s="47"/>
      <c r="U212" s="20"/>
      <c r="V212" s="18"/>
      <c r="AA212" s="18"/>
    </row>
    <row r="213" spans="2:27" ht="14.25" customHeight="1" x14ac:dyDescent="0.25">
      <c r="B213" s="18"/>
      <c r="C213" s="19"/>
      <c r="D213" s="20"/>
      <c r="G213" s="18"/>
      <c r="H213" s="18"/>
      <c r="I213" s="18"/>
      <c r="J213" s="18"/>
      <c r="K213" s="18"/>
      <c r="L213" s="18"/>
      <c r="M213" s="18"/>
      <c r="N213" s="18"/>
      <c r="O213" s="18"/>
      <c r="S213" s="18"/>
      <c r="T213" s="47"/>
      <c r="U213" s="20"/>
      <c r="V213" s="18"/>
      <c r="AA213" s="18"/>
    </row>
    <row r="214" spans="2:27" ht="14.25" customHeight="1" x14ac:dyDescent="0.25">
      <c r="B214" s="18"/>
      <c r="C214" s="19"/>
      <c r="D214" s="20"/>
      <c r="G214" s="18"/>
      <c r="H214" s="18"/>
      <c r="I214" s="18"/>
      <c r="J214" s="18"/>
      <c r="K214" s="18"/>
      <c r="L214" s="18"/>
      <c r="M214" s="18"/>
      <c r="N214" s="18"/>
      <c r="O214" s="18"/>
      <c r="S214" s="18"/>
      <c r="T214" s="47"/>
      <c r="U214" s="20"/>
      <c r="V214" s="18"/>
      <c r="AA214" s="18"/>
    </row>
    <row r="215" spans="2:27" ht="14.25" customHeight="1" x14ac:dyDescent="0.25">
      <c r="B215" s="18"/>
      <c r="C215" s="19"/>
      <c r="D215" s="20"/>
      <c r="G215" s="18"/>
      <c r="H215" s="18"/>
      <c r="I215" s="18"/>
      <c r="J215" s="18"/>
      <c r="K215" s="18"/>
      <c r="L215" s="18"/>
      <c r="M215" s="18"/>
      <c r="N215" s="18"/>
      <c r="O215" s="18"/>
      <c r="S215" s="18"/>
      <c r="T215" s="47"/>
      <c r="U215" s="20"/>
      <c r="V215" s="18"/>
      <c r="AA215" s="18"/>
    </row>
    <row r="216" spans="2:27" ht="14.25" customHeight="1" x14ac:dyDescent="0.25">
      <c r="B216" s="18"/>
      <c r="C216" s="19"/>
      <c r="D216" s="20"/>
      <c r="G216" s="18"/>
      <c r="H216" s="18"/>
      <c r="I216" s="18"/>
      <c r="J216" s="18"/>
      <c r="K216" s="18"/>
      <c r="L216" s="18"/>
      <c r="M216" s="18"/>
      <c r="N216" s="18"/>
      <c r="O216" s="18"/>
      <c r="S216" s="18"/>
      <c r="T216" s="47"/>
      <c r="U216" s="20"/>
      <c r="V216" s="18"/>
      <c r="AA216" s="18"/>
    </row>
    <row r="217" spans="2:27" ht="14.25" customHeight="1" x14ac:dyDescent="0.25">
      <c r="B217" s="18"/>
      <c r="C217" s="19"/>
      <c r="D217" s="20"/>
      <c r="G217" s="18"/>
      <c r="H217" s="18"/>
      <c r="I217" s="18"/>
      <c r="J217" s="18"/>
      <c r="K217" s="18"/>
      <c r="L217" s="18"/>
      <c r="M217" s="18"/>
      <c r="N217" s="18"/>
      <c r="O217" s="18"/>
      <c r="S217" s="18"/>
      <c r="T217" s="47"/>
      <c r="U217" s="20"/>
      <c r="V217" s="18"/>
      <c r="AA217" s="18"/>
    </row>
    <row r="218" spans="2:27" ht="14.25" customHeight="1" x14ac:dyDescent="0.25">
      <c r="B218" s="18"/>
      <c r="C218" s="19"/>
      <c r="D218" s="20"/>
      <c r="G218" s="18"/>
      <c r="H218" s="18"/>
      <c r="I218" s="18"/>
      <c r="J218" s="18"/>
      <c r="K218" s="18"/>
      <c r="L218" s="18"/>
      <c r="M218" s="18"/>
      <c r="N218" s="18"/>
      <c r="O218" s="18"/>
      <c r="S218" s="18"/>
      <c r="T218" s="47"/>
      <c r="U218" s="20"/>
      <c r="V218" s="18"/>
      <c r="AA218" s="18"/>
    </row>
    <row r="219" spans="2:27" ht="14.25" customHeight="1" x14ac:dyDescent="0.25">
      <c r="B219" s="18"/>
      <c r="C219" s="19"/>
      <c r="D219" s="20"/>
      <c r="G219" s="18"/>
      <c r="H219" s="18"/>
      <c r="I219" s="18"/>
      <c r="J219" s="18"/>
      <c r="K219" s="18"/>
      <c r="L219" s="18"/>
      <c r="M219" s="18"/>
      <c r="N219" s="18"/>
      <c r="O219" s="18"/>
      <c r="S219" s="18"/>
      <c r="T219" s="47"/>
      <c r="U219" s="20"/>
      <c r="V219" s="18"/>
      <c r="AA219" s="18"/>
    </row>
    <row r="220" spans="2:27" ht="14.25" customHeight="1" x14ac:dyDescent="0.25">
      <c r="B220" s="18"/>
      <c r="C220" s="19"/>
      <c r="D220" s="20"/>
      <c r="G220" s="18"/>
      <c r="H220" s="18"/>
      <c r="I220" s="18"/>
      <c r="J220" s="18"/>
      <c r="K220" s="18"/>
      <c r="L220" s="18"/>
      <c r="M220" s="18"/>
      <c r="N220" s="18"/>
      <c r="O220" s="18"/>
      <c r="S220" s="18"/>
      <c r="T220" s="47"/>
      <c r="U220" s="20"/>
      <c r="V220" s="18"/>
      <c r="AA220" s="18"/>
    </row>
    <row r="221" spans="2:27" ht="14.25" customHeight="1" x14ac:dyDescent="0.25">
      <c r="B221" s="18"/>
      <c r="C221" s="19"/>
      <c r="D221" s="20"/>
      <c r="G221" s="18"/>
      <c r="H221" s="18"/>
      <c r="I221" s="18"/>
      <c r="J221" s="18"/>
      <c r="K221" s="18"/>
      <c r="L221" s="18"/>
      <c r="M221" s="18"/>
      <c r="N221" s="18"/>
      <c r="O221" s="18"/>
      <c r="S221" s="18"/>
      <c r="T221" s="47"/>
      <c r="U221" s="20"/>
      <c r="V221" s="18"/>
      <c r="AA221" s="18"/>
    </row>
    <row r="222" spans="2:27" ht="14.25" customHeight="1" x14ac:dyDescent="0.25">
      <c r="B222" s="18"/>
      <c r="C222" s="19"/>
      <c r="D222" s="20"/>
      <c r="G222" s="18"/>
      <c r="H222" s="18"/>
      <c r="I222" s="18"/>
      <c r="J222" s="18"/>
      <c r="K222" s="18"/>
      <c r="L222" s="18"/>
      <c r="M222" s="18"/>
      <c r="N222" s="18"/>
      <c r="O222" s="18"/>
      <c r="S222" s="18"/>
      <c r="T222" s="47"/>
      <c r="U222" s="20"/>
      <c r="V222" s="18"/>
      <c r="AA222" s="18"/>
    </row>
    <row r="223" spans="2:27" ht="14.25" customHeight="1" x14ac:dyDescent="0.25">
      <c r="B223" s="18"/>
      <c r="C223" s="19"/>
      <c r="D223" s="20"/>
      <c r="G223" s="23"/>
      <c r="L223" s="20"/>
    </row>
    <row r="224" spans="2:27" ht="14.25" customHeight="1" x14ac:dyDescent="0.25">
      <c r="B224" s="18"/>
      <c r="C224" s="19"/>
      <c r="D224" s="20"/>
      <c r="G224" s="23"/>
      <c r="L224" s="20"/>
    </row>
  </sheetData>
  <sheetProtection formatCells="0" formatColumns="0"/>
  <autoFilter ref="A4:AI161" xr:uid="{D950C24E-E633-42C3-8679-B9824A9CFB61}">
    <filterColumn colId="1">
      <filters>
        <filter val="AALR3"/>
        <filter val="ABEV3"/>
        <filter val="ALPA4"/>
        <filter val="ALSO3"/>
        <filter val="ALUP11"/>
        <filter val="AMAR3"/>
        <filter val="ANIM3"/>
        <filter val="APER3"/>
        <filter val="ARZZ3"/>
        <filter val="AZUL4"/>
        <filter val="B3SA3"/>
        <filter val="BBAS3"/>
        <filter val="BBDC4"/>
        <filter val="BBSE3"/>
        <filter val="BEEF3"/>
        <filter val="BIDI11"/>
        <filter val="BKBR3"/>
        <filter val="BMGB4"/>
        <filter val="BPAC11"/>
        <filter val="BRAP4"/>
        <filter val="BRDT3"/>
        <filter val="BRFS3"/>
        <filter val="BRKM5"/>
        <filter val="BRML3"/>
        <filter val="BRPR3"/>
        <filter val="BRSR6"/>
        <filter val="BTOW3"/>
        <filter val="CAML3"/>
        <filter val="CCPR3"/>
        <filter val="CCRO3"/>
        <filter val="CEAB3"/>
        <filter val="CESP6"/>
        <filter val="CIEL3"/>
        <filter val="CMIG3"/>
        <filter val="CMIG4"/>
        <filter val="COGN3"/>
        <filter val="CPFE3"/>
        <filter val="CPLE6"/>
        <filter val="CRFB3"/>
        <filter val="CSAN3"/>
        <filter val="CSMG3"/>
        <filter val="CSNA3"/>
        <filter val="CVCB3"/>
        <filter val="CYRE3"/>
        <filter val="DIRR3"/>
        <filter val="DMMO3"/>
        <filter val="DMVF3"/>
        <filter val="DTEX3"/>
        <filter val="ECOR3"/>
        <filter val="EGIE3"/>
        <filter val="ELET6"/>
        <filter val="EMBR3"/>
        <filter val="ENAT3"/>
        <filter val="ENBR3"/>
        <filter val="ENEV3"/>
        <filter val="ENGI11"/>
        <filter val="EQTL3"/>
        <filter val="EVEN3"/>
        <filter val="EZTC3"/>
        <filter val="FLRY3"/>
        <filter val="FRAS3"/>
        <filter val="GFSA3"/>
        <filter val="GGBR4"/>
        <filter val="GNDI3"/>
        <filter val="GOAU4"/>
        <filter val="GOLL4"/>
        <filter val="GRND3"/>
        <filter val="GUAR3"/>
        <filter val="HAPV3"/>
        <filter val="HBOR3"/>
        <filter val="HGTX3"/>
        <filter val="HYPE3"/>
        <filter val="IGTA3"/>
        <filter val="IRBR3"/>
        <filter val="ITSA4"/>
        <filter val="ITUB4"/>
        <filter val="JBSS3"/>
        <filter val="JHSF3"/>
        <filter val="JPSA3"/>
        <filter val="KLBN11"/>
        <filter val="LAME4"/>
        <filter val="LCAM3"/>
        <filter val="LEVE3"/>
        <filter val="LIGT3"/>
        <filter val="LINX3"/>
        <filter val="LJQQ3"/>
        <filter val="LOGG3"/>
        <filter val="LOGN3"/>
        <filter val="LPSB3"/>
        <filter val="LREN3"/>
        <filter val="LWSA3"/>
        <filter val="MDIA3"/>
        <filter val="MEAL3"/>
        <filter val="MGLU3"/>
        <filter val="MILS3"/>
        <filter val="MOVI3"/>
        <filter val="MRFG3"/>
        <filter val="MRVE3"/>
        <filter val="MTRE3"/>
        <filter val="MULT3"/>
        <filter val="MYPK3"/>
        <filter val="NTCO3"/>
        <filter val="ODPV3"/>
        <filter val="OIBR3"/>
        <filter val="OMGE3"/>
        <filter val="PARD3"/>
        <filter val="PCAR3"/>
        <filter val="PETR3"/>
        <filter val="PETR4"/>
        <filter val="POMO4"/>
        <filter val="POSI3"/>
        <filter val="PRIO3"/>
        <filter val="PRNR3"/>
        <filter val="PSSA3"/>
        <filter val="PTBL3"/>
        <filter val="QUAL3"/>
        <filter val="RADL3"/>
        <filter val="RAIL3"/>
        <filter val="RAPT4"/>
        <filter val="RCSL4"/>
        <filter val="RENT3"/>
        <filter val="ROMI3"/>
        <filter val="SAPR11"/>
        <filter val="SBSP3"/>
        <filter val="SEER3"/>
        <filter val="SIMH3"/>
        <filter val="SLCE3"/>
        <filter val="SMLS3"/>
        <filter val="SMTO3"/>
        <filter val="SQIA3"/>
        <filter val="SULA11"/>
        <filter val="SUZB3"/>
        <filter val="TASA4"/>
        <filter val="TCSA3"/>
        <filter val="TEND3"/>
        <filter val="TGMA3"/>
        <filter val="TOTS3"/>
        <filter val="TRIS3"/>
        <filter val="TRPL4"/>
        <filter val="UGPA3"/>
        <filter val="UNIP6"/>
        <filter val="USIM5"/>
        <filter val="VALE3"/>
        <filter val="VIVA3"/>
        <filter val="VIVT3"/>
        <filter val="VVAR3"/>
        <filter val="WEGE3"/>
        <filter val="WIZS3"/>
        <filter val="YDUQ3"/>
      </filters>
    </filterColumn>
  </autoFilter>
  <sortState xmlns:xlrd2="http://schemas.microsoft.com/office/spreadsheetml/2017/richdata2" ref="B4:F116">
    <sortCondition ref="E4"/>
  </sortState>
  <mergeCells count="2">
    <mergeCell ref="AD2:AI2"/>
    <mergeCell ref="B1:E1"/>
  </mergeCells>
  <conditionalFormatting sqref="J1:J4 J223:J1048576">
    <cfRule type="colorScale" priority="9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D223:D1048576">
    <cfRule type="colorScale" priority="9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4 E223:E1048576">
    <cfRule type="colorScale" priority="9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:F4 F223:F1048576">
    <cfRule type="colorScale" priority="9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:G4 G223:G1048576">
    <cfRule type="colorScale" priority="9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:H4 H223:H1048576">
    <cfRule type="colorScale" priority="9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4 I223:I1048576">
    <cfRule type="colorScale" priority="9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:J4 J223:J1048576">
    <cfRule type="colorScale" priority="9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4 K223:K1048576">
    <cfRule type="colorScale" priority="9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23:W1048576 L1:W4">
    <cfRule type="colorScale" priority="9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D223:D1048576">
    <cfRule type="colorScale" priority="9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4 E223:E1048576">
    <cfRule type="colorScale" priority="9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:F4 F223:F1048576">
    <cfRule type="colorScale" priority="9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:G4 G223:G1048576">
    <cfRule type="colorScale" priority="9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:H4 H223:H1048576">
    <cfRule type="colorScale" priority="9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4 I223:I1048576">
    <cfRule type="colorScale" priority="9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:J4 J223:J1048576">
    <cfRule type="colorScale" priority="9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4 K223:K1048576">
    <cfRule type="colorScale" priority="9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23:W1048576 L1:W4">
    <cfRule type="colorScale" priority="9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3:X1048576 E4:W4 D2:X3 F1:X1">
    <cfRule type="colorScale" priority="9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3:X1048576 E4:W4 D2:X3 F1:X1">
    <cfRule type="colorScale" priority="9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3:X1048576 E4:W4 D2:X3 F1:X1">
    <cfRule type="colorScale" priority="9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3:X1048576 E4:W4 D2:X3 F1:X1">
    <cfRule type="colorScale" priority="9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223:I1048576 G1:I4">
    <cfRule type="colorScale" priority="9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3:X1048576 E4:W4 D2:X3 F1:X1">
    <cfRule type="colorScale" priority="9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O1:O4 Q223:T1048576 O223:O1048576 G223:I1048576 D223:D1048576 P4:Q4 G1:I4 Q1:T4">
    <cfRule type="colorScale" priority="9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D223:D1048576">
    <cfRule type="colorScale" priority="9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:G4 G223:G1048576">
    <cfRule type="colorScale" priority="9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:H4 H223:H1048576">
    <cfRule type="colorScale" priority="9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4 I223:I1048576">
    <cfRule type="colorScale" priority="9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:O4 O223:O1048576">
    <cfRule type="colorScale" priority="9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:Q4 Q223:Q1048576">
    <cfRule type="colorScale" priority="9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:R4 R223:R1048576">
    <cfRule type="colorScale" priority="9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:S4 S223:S1048576">
    <cfRule type="colorScale" priority="9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:T4 T223:T1048576">
    <cfRule type="colorScale" priority="9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:U4 U223:U1048576">
    <cfRule type="colorScale" priority="9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:V4 V223:V1048576">
    <cfRule type="colorScale" priority="94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1:W4 W223:W1048576">
    <cfRule type="colorScale" priority="9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:X3 X223:X1048576">
    <cfRule type="colorScale" priority="9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4 E223:E1048576">
    <cfRule type="colorScale" priority="9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:F4 F223:F1048576">
    <cfRule type="colorScale" priority="9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:J4 J223:J1048576">
    <cfRule type="colorScale" priority="9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4 K223:K1048576">
    <cfRule type="colorScale" priority="9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:L4 L223:L1048576">
    <cfRule type="colorScale" priority="9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4 M223:M1048576">
    <cfRule type="colorScale" priority="9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:N4 N223:N1048576">
    <cfRule type="colorScale" priority="9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:P4 P223:P1048576">
    <cfRule type="colorScale" priority="9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:AA2 Y223:AA1048576 Z4:AA4">
    <cfRule type="colorScale" priority="934">
      <colorScale>
        <cfvo type="min"/>
        <cfvo type="max"/>
        <color rgb="FFFCFCFF"/>
        <color rgb="FF63BE7B"/>
      </colorScale>
    </cfRule>
  </conditionalFormatting>
  <conditionalFormatting sqref="D223:X1048576 E4:W4 D2:X3 F1:X1">
    <cfRule type="colorScale" priority="9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O1:O4 Q223:T1048576 O223:O1048576 G223:I1048576 D223:D1048576 P4:Q4 G1:I4 Q1:T4">
    <cfRule type="colorScale" priority="9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D223:D1048576">
    <cfRule type="colorScale" priority="9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:G4 G223:G1048576">
    <cfRule type="colorScale" priority="9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:H4 H223:H1048576">
    <cfRule type="colorScale" priority="9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4 I223:I1048576">
    <cfRule type="colorScale" priority="9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:O4 O223:O1048576">
    <cfRule type="colorScale" priority="9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:Q4 Q223:Q1048576">
    <cfRule type="colorScale" priority="9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:R4 R223:R1048576">
    <cfRule type="colorScale" priority="9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:S4 S223:S1048576">
    <cfRule type="colorScale" priority="9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:T4 T223:T1048576">
    <cfRule type="colorScale" priority="9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:U4 U223:U1048576">
    <cfRule type="colorScale" priority="9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:V4 V223:V1048576">
    <cfRule type="colorScale" priority="9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1:W4 W223:W1048576">
    <cfRule type="colorScale" priority="9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:X3 X223:X1048576">
    <cfRule type="colorScale" priority="9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4 E223:E1048576">
    <cfRule type="colorScale" priority="9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:F4 F223:F1048576">
    <cfRule type="colorScale" priority="9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:J4 J223:J1048576">
    <cfRule type="colorScale" priority="9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4 K223:K1048576">
    <cfRule type="colorScale" priority="9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:L4 L223:L1048576">
    <cfRule type="colorScale" priority="9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4 M223:M1048576">
    <cfRule type="colorScale" priority="9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:N4 N223:N1048576">
    <cfRule type="colorScale" priority="9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:P4 P223:P1048576">
    <cfRule type="colorScale" priority="9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:AA2 Y223:AA1048576 Z4:AA4">
    <cfRule type="colorScale" priority="910">
      <colorScale>
        <cfvo type="min"/>
        <cfvo type="max"/>
        <color rgb="FFFCFCFF"/>
        <color rgb="FF63BE7B"/>
      </colorScale>
    </cfRule>
  </conditionalFormatting>
  <conditionalFormatting sqref="D223:X1048576 E4:W4 D2:X3 F1:X1">
    <cfRule type="colorScale" priority="9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O1:O4 Q223:T1048576 O223:O1048576 G223:I1048576 D223:D1048576 P4:Q4 G1:I4 Q1:T4">
    <cfRule type="colorScale" priority="9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D223:D1048576">
    <cfRule type="colorScale" priority="9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:G4 G223:G1048576">
    <cfRule type="colorScale" priority="9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:H4 H223:H1048576">
    <cfRule type="colorScale" priority="9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4 I223:I1048576">
    <cfRule type="colorScale" priority="9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:O4 O223:O1048576">
    <cfRule type="colorScale" priority="9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:Q4 Q223:Q1048576">
    <cfRule type="colorScale" priority="9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:R4 R223:R1048576">
    <cfRule type="colorScale" priority="9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:S4 S223:S1048576">
    <cfRule type="colorScale" priority="9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:T4 T223:T1048576">
    <cfRule type="colorScale" priority="8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:U4 U223:U1048576">
    <cfRule type="colorScale" priority="8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:V4 V223:V1048576">
    <cfRule type="colorScale" priority="89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1:W4 W223:W1048576">
    <cfRule type="colorScale" priority="8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:X3 X223:X1048576">
    <cfRule type="colorScale" priority="8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4 E223:E1048576">
    <cfRule type="colorScale" priority="8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:F4 F223:F1048576">
    <cfRule type="colorScale" priority="8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:J4 J223:J1048576">
    <cfRule type="colorScale" priority="8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4 K223:K1048576">
    <cfRule type="colorScale" priority="8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:L4 L223:L1048576">
    <cfRule type="colorScale" priority="8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4 M223:M1048576">
    <cfRule type="colorScale" priority="8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:N4 N223:N1048576">
    <cfRule type="colorScale" priority="8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:P4 P223:P1048576">
    <cfRule type="colorScale" priority="8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:AA2 Y223:AA1048576 Z4:AA4">
    <cfRule type="colorScale" priority="886">
      <colorScale>
        <cfvo type="min"/>
        <cfvo type="max"/>
        <color rgb="FFFCFCFF"/>
        <color rgb="FF63BE7B"/>
      </colorScale>
    </cfRule>
  </conditionalFormatting>
  <conditionalFormatting sqref="D223:X1048576 E4:W4 D2:X3 F1:X1">
    <cfRule type="colorScale" priority="8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O1:O4 Q223:T1048576 O223:O1048576 G223:I1048576 D223:D1048576 P4:Q4 G1:I4 Q1:T4">
    <cfRule type="colorScale" priority="8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D223:D1048576">
    <cfRule type="colorScale" priority="8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:G4 G223:G1048576">
    <cfRule type="colorScale" priority="8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:H4 H223:H1048576">
    <cfRule type="colorScale" priority="8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4 I223:I1048576">
    <cfRule type="colorScale" priority="8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:O4 O223:O1048576">
    <cfRule type="colorScale" priority="8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:Q4 Q223:Q1048576">
    <cfRule type="colorScale" priority="8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:R4 R223:R1048576">
    <cfRule type="colorScale" priority="8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:S4 S223:S1048576">
    <cfRule type="colorScale" priority="8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:T4 T223:T1048576">
    <cfRule type="colorScale" priority="8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:U4 U223:U1048576">
    <cfRule type="colorScale" priority="8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:V4 V223:V1048576">
    <cfRule type="colorScale" priority="87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1:W4 W223:W1048576">
    <cfRule type="colorScale" priority="8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:X3 X223:X1048576">
    <cfRule type="colorScale" priority="8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4 E223:E1048576">
    <cfRule type="colorScale" priority="8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:F4 F223:F1048576">
    <cfRule type="colorScale" priority="8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:J4 J223:J1048576">
    <cfRule type="colorScale" priority="8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4 K223:K1048576">
    <cfRule type="colorScale" priority="8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:L4 L223:L1048576">
    <cfRule type="colorScale" priority="8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4 M223:M1048576">
    <cfRule type="colorScale" priority="8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:N4 N223:N1048576">
    <cfRule type="colorScale" priority="8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:P4 P223:P1048576">
    <cfRule type="colorScale" priority="8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:AA2 Y223:AA1048576 Z4:AA4">
    <cfRule type="colorScale" priority="862">
      <colorScale>
        <cfvo type="min"/>
        <cfvo type="max"/>
        <color rgb="FFFCFCFF"/>
        <color rgb="FF63BE7B"/>
      </colorScale>
    </cfRule>
  </conditionalFormatting>
  <conditionalFormatting sqref="W4">
    <cfRule type="colorScale" priority="86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4">
    <cfRule type="colorScale" priority="86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4">
    <cfRule type="colorScale" priority="85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4">
    <cfRule type="colorScale" priority="85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4">
    <cfRule type="colorScale" priority="857">
      <colorScale>
        <cfvo type="min"/>
        <cfvo type="max"/>
        <color rgb="FFFCFCFF"/>
        <color rgb="FF63BE7B"/>
      </colorScale>
    </cfRule>
  </conditionalFormatting>
  <conditionalFormatting sqref="X4">
    <cfRule type="colorScale" priority="856">
      <colorScale>
        <cfvo type="min"/>
        <cfvo type="max"/>
        <color rgb="FFFCFCFF"/>
        <color rgb="FF63BE7B"/>
      </colorScale>
    </cfRule>
  </conditionalFormatting>
  <conditionalFormatting sqref="X4">
    <cfRule type="colorScale" priority="855">
      <colorScale>
        <cfvo type="min"/>
        <cfvo type="max"/>
        <color rgb="FFFCFCFF"/>
        <color rgb="FF63BE7B"/>
      </colorScale>
    </cfRule>
  </conditionalFormatting>
  <conditionalFormatting sqref="X4">
    <cfRule type="colorScale" priority="854">
      <colorScale>
        <cfvo type="min"/>
        <cfvo type="max"/>
        <color rgb="FFFCFCFF"/>
        <color rgb="FF63BE7B"/>
      </colorScale>
    </cfRule>
  </conditionalFormatting>
  <conditionalFormatting sqref="Y4">
    <cfRule type="colorScale" priority="853">
      <colorScale>
        <cfvo type="min"/>
        <cfvo type="max"/>
        <color rgb="FFFCFCFF"/>
        <color rgb="FF63BE7B"/>
      </colorScale>
    </cfRule>
  </conditionalFormatting>
  <conditionalFormatting sqref="Y4">
    <cfRule type="colorScale" priority="852">
      <colorScale>
        <cfvo type="min"/>
        <cfvo type="max"/>
        <color rgb="FFFCFCFF"/>
        <color rgb="FF63BE7B"/>
      </colorScale>
    </cfRule>
  </conditionalFormatting>
  <conditionalFormatting sqref="Y4">
    <cfRule type="colorScale" priority="851">
      <colorScale>
        <cfvo type="min"/>
        <cfvo type="max"/>
        <color rgb="FFFCFCFF"/>
        <color rgb="FF63BE7B"/>
      </colorScale>
    </cfRule>
  </conditionalFormatting>
  <conditionalFormatting sqref="Y4">
    <cfRule type="colorScale" priority="850">
      <colorScale>
        <cfvo type="min"/>
        <cfvo type="max"/>
        <color rgb="FFFCFCFF"/>
        <color rgb="FF63BE7B"/>
      </colorScale>
    </cfRule>
  </conditionalFormatting>
  <conditionalFormatting sqref="E4:F4">
    <cfRule type="colorScale" priority="8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4:Q4">
    <cfRule type="colorScale" priority="8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4:Q4">
    <cfRule type="colorScale" priority="8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4:Q4">
    <cfRule type="colorScale" priority="8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4:Q4">
    <cfRule type="colorScale" priority="8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E5:E151">
    <cfRule type="colorScale" priority="8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F5:F151">
    <cfRule type="colorScale" priority="8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G5:G151">
    <cfRule type="colorScale" priority="83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pivot="1" sqref="H5:H151">
    <cfRule type="colorScale" priority="8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I5:I151">
    <cfRule type="colorScale" priority="8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J5:J151">
    <cfRule type="colorScale" priority="8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K5:K151">
    <cfRule type="colorScale" priority="8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L5:L151">
    <cfRule type="colorScale" priority="8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M5:M151">
    <cfRule type="colorScale" priority="8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N5:N151">
    <cfRule type="colorScale" priority="8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O5:O151">
    <cfRule type="colorScale" priority="8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P5:P151">
    <cfRule type="colorScale" priority="8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Q5:Q151">
    <cfRule type="colorScale" priority="8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R5:R151">
    <cfRule type="colorScale" priority="8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S5:S151">
    <cfRule type="colorScale" priority="8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T5:T151">
    <cfRule type="colorScale" priority="8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U5:U151">
    <cfRule type="colorScale" priority="8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V5:V151">
    <cfRule type="colorScale" priority="8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W5:W151">
    <cfRule type="colorScale" priority="8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X5:X151">
    <cfRule type="colorScale" priority="8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Y5:Y151">
    <cfRule type="colorScale" priority="8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Z5:Z151">
    <cfRule type="colorScale" priority="8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A5:AA151">
    <cfRule type="colorScale" priority="8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B5:AB151">
    <cfRule type="colorScale" priority="8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C5:AC151">
    <cfRule type="colorScale" priority="8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D5:AD151">
    <cfRule type="colorScale" priority="8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D5:AD151">
    <cfRule type="colorScale" priority="808">
      <colorScale>
        <cfvo type="min"/>
        <cfvo type="max"/>
        <color rgb="FFFCFCFF"/>
        <color rgb="FF63BE7B"/>
      </colorScale>
    </cfRule>
  </conditionalFormatting>
  <conditionalFormatting pivot="1" sqref="AE5:AE151">
    <cfRule type="colorScale" priority="8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E5:AE151">
    <cfRule type="colorScale" priority="806">
      <colorScale>
        <cfvo type="min"/>
        <cfvo type="max"/>
        <color rgb="FFFCFCFF"/>
        <color rgb="FF63BE7B"/>
      </colorScale>
    </cfRule>
  </conditionalFormatting>
  <conditionalFormatting pivot="1" sqref="AF5:AF151">
    <cfRule type="colorScale" priority="8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G5:AG151">
    <cfRule type="colorScale" priority="8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H5:AH151">
    <cfRule type="colorScale" priority="8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I5:AI151">
    <cfRule type="colorScale" priority="8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D5:D151">
    <cfRule type="colorScale" priority="8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">
    <cfRule type="colorScale" priority="8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">
    <cfRule type="colorScale" priority="7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">
    <cfRule type="colorScale" priority="7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">
    <cfRule type="colorScale" priority="7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">
    <cfRule type="colorScale" priority="7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">
    <cfRule type="colorScale" priority="7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">
    <cfRule type="colorScale" priority="7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">
    <cfRule type="colorScale" priority="7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">
    <cfRule type="colorScale" priority="7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">
    <cfRule type="colorScale" priority="7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">
    <cfRule type="colorScale" priority="7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">
    <cfRule type="colorScale" priority="7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">
    <cfRule type="colorScale" priority="7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6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5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5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5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5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5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5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5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8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3">
    <cfRule type="colorScale" priority="38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3">
    <cfRule type="colorScale" priority="38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3">
    <cfRule type="colorScale" priority="38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3">
    <cfRule type="colorScale" priority="3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3">
    <cfRule type="colorScale" priority="3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3">
    <cfRule type="colorScale" priority="3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3">
    <cfRule type="colorScale" priority="31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3">
    <cfRule type="colorScale" priority="3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3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3">
    <cfRule type="colorScale" priority="23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3">
    <cfRule type="colorScale" priority="23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3">
    <cfRule type="colorScale" priority="23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3">
    <cfRule type="colorScale" priority="2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Z3">
    <cfRule type="colorScale" priority="15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Z3">
    <cfRule type="colorScale" priority="14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Z3">
    <cfRule type="colorScale" priority="14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Z3">
    <cfRule type="colorScale" priority="1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6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A3">
    <cfRule type="colorScale" priority="6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A3">
    <cfRule type="colorScale" priority="6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A3">
    <cfRule type="colorScale" priority="6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A3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I5:AI151">
    <cfRule type="colorScale" priority="2">
      <colorScale>
        <cfvo type="min"/>
        <cfvo type="max"/>
        <color rgb="FF63BE7B"/>
        <color rgb="FFFCFCFF"/>
      </colorScale>
    </cfRule>
  </conditionalFormatting>
  <conditionalFormatting pivot="1" sqref="AE5:AE151">
    <cfRule type="colorScale" priority="1">
      <colorScale>
        <cfvo type="min"/>
        <cfvo type="max"/>
        <color rgb="FF63BE7B"/>
        <color rgb="FFFCFCFF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E13A6-A2BB-4694-9A7C-F098A0C3A3B5}">
  <dimension ref="B2:D33"/>
  <sheetViews>
    <sheetView showGridLines="0" workbookViewId="0">
      <selection activeCell="C11" sqref="C11"/>
    </sheetView>
  </sheetViews>
  <sheetFormatPr defaultRowHeight="15" x14ac:dyDescent="0.25"/>
  <sheetData>
    <row r="2" spans="2:3" x14ac:dyDescent="0.25">
      <c r="B2" s="48" t="s">
        <v>309</v>
      </c>
    </row>
    <row r="4" spans="2:3" x14ac:dyDescent="0.25">
      <c r="B4" s="52">
        <v>1</v>
      </c>
      <c r="C4" t="s">
        <v>313</v>
      </c>
    </row>
    <row r="5" spans="2:3" x14ac:dyDescent="0.25">
      <c r="B5" s="52">
        <v>2</v>
      </c>
      <c r="C5" t="s">
        <v>310</v>
      </c>
    </row>
    <row r="6" spans="2:3" x14ac:dyDescent="0.25">
      <c r="B6" s="52">
        <v>3</v>
      </c>
      <c r="C6" t="s">
        <v>311</v>
      </c>
    </row>
    <row r="7" spans="2:3" x14ac:dyDescent="0.25">
      <c r="B7" s="52">
        <v>4</v>
      </c>
      <c r="C7" t="s">
        <v>312</v>
      </c>
    </row>
    <row r="8" spans="2:3" x14ac:dyDescent="0.25">
      <c r="B8" s="52">
        <v>5</v>
      </c>
      <c r="C8" t="s">
        <v>327</v>
      </c>
    </row>
    <row r="9" spans="2:3" x14ac:dyDescent="0.25">
      <c r="B9" s="52">
        <v>6</v>
      </c>
      <c r="C9" t="s">
        <v>328</v>
      </c>
    </row>
    <row r="10" spans="2:3" x14ac:dyDescent="0.25">
      <c r="B10" s="52">
        <v>7</v>
      </c>
      <c r="C10" t="s">
        <v>340</v>
      </c>
    </row>
    <row r="13" spans="2:3" x14ac:dyDescent="0.25">
      <c r="B13" s="48" t="s">
        <v>315</v>
      </c>
    </row>
    <row r="15" spans="2:3" x14ac:dyDescent="0.25">
      <c r="B15" s="50" t="s">
        <v>271</v>
      </c>
      <c r="C15" t="s">
        <v>330</v>
      </c>
    </row>
    <row r="16" spans="2:3" x14ac:dyDescent="0.25">
      <c r="B16" s="50"/>
      <c r="C16" t="s">
        <v>318</v>
      </c>
    </row>
    <row r="17" spans="2:4" x14ac:dyDescent="0.25">
      <c r="B17" s="50"/>
      <c r="C17" t="s">
        <v>331</v>
      </c>
    </row>
    <row r="18" spans="2:4" x14ac:dyDescent="0.25">
      <c r="B18" s="50"/>
      <c r="C18" t="s">
        <v>332</v>
      </c>
    </row>
    <row r="19" spans="2:4" x14ac:dyDescent="0.25">
      <c r="B19" s="50"/>
    </row>
    <row r="20" spans="2:4" x14ac:dyDescent="0.25">
      <c r="B20" s="50" t="s">
        <v>271</v>
      </c>
      <c r="C20" t="s">
        <v>316</v>
      </c>
    </row>
    <row r="21" spans="2:4" x14ac:dyDescent="0.25">
      <c r="B21" s="50"/>
      <c r="C21" t="s">
        <v>317</v>
      </c>
    </row>
    <row r="22" spans="2:4" x14ac:dyDescent="0.25">
      <c r="B22" s="50"/>
      <c r="C22" t="s">
        <v>318</v>
      </c>
    </row>
    <row r="23" spans="2:4" x14ac:dyDescent="0.25">
      <c r="B23" s="50"/>
      <c r="C23" t="s">
        <v>319</v>
      </c>
    </row>
    <row r="24" spans="2:4" x14ac:dyDescent="0.25">
      <c r="B24" s="50"/>
      <c r="D24" t="s">
        <v>323</v>
      </c>
    </row>
    <row r="25" spans="2:4" x14ac:dyDescent="0.25">
      <c r="B25" s="50"/>
      <c r="D25" t="s">
        <v>324</v>
      </c>
    </row>
    <row r="26" spans="2:4" x14ac:dyDescent="0.25">
      <c r="B26" s="50"/>
      <c r="C26" t="s">
        <v>320</v>
      </c>
      <c r="D26" t="s">
        <v>325</v>
      </c>
    </row>
    <row r="27" spans="2:4" x14ac:dyDescent="0.25">
      <c r="B27" s="50"/>
      <c r="C27" t="s">
        <v>321</v>
      </c>
    </row>
    <row r="28" spans="2:4" x14ac:dyDescent="0.25">
      <c r="B28" s="50"/>
      <c r="C28" t="s">
        <v>318</v>
      </c>
    </row>
    <row r="29" spans="2:4" x14ac:dyDescent="0.25">
      <c r="B29" s="50"/>
      <c r="C29" t="s">
        <v>322</v>
      </c>
    </row>
    <row r="30" spans="2:4" x14ac:dyDescent="0.25">
      <c r="B30" s="50"/>
      <c r="C30" t="s">
        <v>326</v>
      </c>
    </row>
    <row r="32" spans="2:4" x14ac:dyDescent="0.25">
      <c r="B32" s="50" t="s">
        <v>271</v>
      </c>
      <c r="C32" t="s">
        <v>329</v>
      </c>
    </row>
    <row r="33" spans="2:3" x14ac:dyDescent="0.25">
      <c r="B33" s="49" t="s">
        <v>271</v>
      </c>
      <c r="C33" t="s">
        <v>334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816B2F8-3241-4205-AEB7-3726615B2B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Source</vt:lpstr>
      <vt:lpstr>Patterns</vt:lpstr>
      <vt:lpstr>Pivot Table</vt:lpstr>
      <vt:lpstr>Apresentação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</dc:creator>
  <cp:lastModifiedBy>Felipe</cp:lastModifiedBy>
  <dcterms:created xsi:type="dcterms:W3CDTF">2021-03-13T15:12:15Z</dcterms:created>
  <dcterms:modified xsi:type="dcterms:W3CDTF">2021-10-24T05:17:32Z</dcterms:modified>
</cp:coreProperties>
</file>